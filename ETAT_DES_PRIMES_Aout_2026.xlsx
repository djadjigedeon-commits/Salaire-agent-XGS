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oût 2026" sheetId="1" state="visible" r:id="rId3"/>
    <sheet name="Prime Manager" sheetId="2" state="visible" r:id="rId4"/>
  </sheets>
  <definedNames>
    <definedName function="false" hidden="true" localSheetId="0" name="_xlnm._FilterDatabase" vbProcedure="false">'Août 2026'!$A$7:$O$32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<sst xmlns="http://schemas.openxmlformats.org/spreadsheetml/2006/main" count="192" uniqueCount="79">
  <si>
    <t xml:space="preserve">Paiement Primes de Stage Août 2026</t>
  </si>
  <si>
    <t xml:space="preserve">ESPECES BILLETAGE NET A PAYER DU MOIS DE AOÛT 2026</t>
  </si>
  <si>
    <t xml:space="preserve">A remplir</t>
  </si>
  <si>
    <t xml:space="preserve">Nom et prénoms</t>
  </si>
  <si>
    <t xml:space="preserve">Projet</t>
  </si>
  <si>
    <t xml:space="preserve">superviseur</t>
  </si>
  <si>
    <t xml:space="preserve">Poste</t>
  </si>
  <si>
    <t xml:space="preserve">Salaire de base net/mois</t>
  </si>
  <si>
    <t xml:space="preserve">Heure Nominal </t>
  </si>
  <si>
    <t xml:space="preserve">Salaire/Heure</t>
  </si>
  <si>
    <t xml:space="preserve">NET A PAYER</t>
  </si>
  <si>
    <t xml:space="preserve">Arrondi entier naturel inf</t>
  </si>
  <si>
    <t xml:space="preserve">Nbre de heures à payer</t>
  </si>
  <si>
    <t xml:space="preserve">Nbre de heures d'absence</t>
  </si>
  <si>
    <t xml:space="preserve">retrait salaire absence/retard</t>
  </si>
  <si>
    <t xml:space="preserve">Prime Juillet</t>
  </si>
  <si>
    <t xml:space="preserve">Prime Coach métier</t>
  </si>
  <si>
    <t xml:space="preserve">Total Août</t>
  </si>
  <si>
    <t xml:space="preserve">Total Juillet sans formule</t>
  </si>
  <si>
    <t xml:space="preserve">Matricule</t>
  </si>
  <si>
    <t xml:space="preserve">Mot de passe</t>
  </si>
  <si>
    <t xml:space="preserve">BOUAFFOU M'la Anne Gilberte</t>
  </si>
  <si>
    <t xml:space="preserve">FIDELIS</t>
  </si>
  <si>
    <t xml:space="preserve">Sery Serge</t>
  </si>
  <si>
    <t xml:space="preserve">Stagiaire Télévendeur</t>
  </si>
  <si>
    <t xml:space="preserve">A001</t>
  </si>
  <si>
    <t xml:space="preserve">test123</t>
  </si>
  <si>
    <t xml:space="preserve">FANDE Denis Wilfried Onesime</t>
  </si>
  <si>
    <t xml:space="preserve">A002</t>
  </si>
  <si>
    <t xml:space="preserve">test456</t>
  </si>
  <si>
    <t xml:space="preserve">GABE Ange Magloire</t>
  </si>
  <si>
    <t xml:space="preserve">A003</t>
  </si>
  <si>
    <t xml:space="preserve">KOUADIO Akissi Ghislaine</t>
  </si>
  <si>
    <t xml:space="preserve">N'DRI Aya Leen Dominique</t>
  </si>
  <si>
    <t xml:space="preserve">N'GUESSAN Ouffoue Hoylane</t>
  </si>
  <si>
    <t xml:space="preserve">ZALO Flore Marie Benie</t>
  </si>
  <si>
    <t xml:space="preserve">ADJORO Affa Cho Christiane Raïssa</t>
  </si>
  <si>
    <t xml:space="preserve">MTN</t>
  </si>
  <si>
    <t xml:space="preserve">Gédéon DJADJI</t>
  </si>
  <si>
    <t xml:space="preserve">AKA Affoué Martine</t>
  </si>
  <si>
    <t xml:space="preserve">AZO Djekou Audrey Irénée Débora</t>
  </si>
  <si>
    <t xml:space="preserve">BABERE Dominique Axelle-Laetitia</t>
  </si>
  <si>
    <t xml:space="preserve">BAMBA Nenin</t>
  </si>
  <si>
    <t xml:space="preserve">BEUGRE Attié Rénée Odile</t>
  </si>
  <si>
    <t xml:space="preserve">BLEY Gbalé Campbell Josué</t>
  </si>
  <si>
    <t xml:space="preserve">BOLI Stéphanie Laurette</t>
  </si>
  <si>
    <t xml:space="preserve">DIGBEA Homa Josiane</t>
  </si>
  <si>
    <t xml:space="preserve">DIOMANDE Myriam Fatim Malika</t>
  </si>
  <si>
    <t xml:space="preserve">DOGBO Marie Sylviane</t>
  </si>
  <si>
    <t xml:space="preserve">Eganeme Sess Alex Carel</t>
  </si>
  <si>
    <t xml:space="preserve">FLAN DILANE ACQUINE</t>
  </si>
  <si>
    <t xml:space="preserve">GNOLEBA Gboba Jean Bedel</t>
  </si>
  <si>
    <t xml:space="preserve">GOLE Lou Bouzié Epiphanie Ketura</t>
  </si>
  <si>
    <t xml:space="preserve">GUIGO Ariane Jocelyne</t>
  </si>
  <si>
    <t xml:space="preserve">KANHON Derou Ariane Eudes</t>
  </si>
  <si>
    <t xml:space="preserve">KOFFI Etchian Adon Ange Marie-Aimée</t>
  </si>
  <si>
    <t xml:space="preserve">Kokore Amena Ange Emmanuella</t>
  </si>
  <si>
    <t xml:space="preserve">KONE Fiéké</t>
  </si>
  <si>
    <t xml:space="preserve">NIKIEMA Béléwendé</t>
  </si>
  <si>
    <t xml:space="preserve">OUATTARA Nabougomba Yasmine</t>
  </si>
  <si>
    <t xml:space="preserve">OUATTARA Quolaut Fatim</t>
  </si>
  <si>
    <t xml:space="preserve">OUATTARA Soumaïla</t>
  </si>
  <si>
    <t xml:space="preserve">TA Lou Boli Charlotte</t>
  </si>
  <si>
    <t xml:space="preserve">TATO Zérégbé Lepou Bénédicte</t>
  </si>
  <si>
    <t xml:space="preserve">TRAORE Yann Abdoul Aziz</t>
  </si>
  <si>
    <t xml:space="preserve">TRABOUE Bi Guessan Ange</t>
  </si>
  <si>
    <t xml:space="preserve">TRAORE Awa</t>
  </si>
  <si>
    <t xml:space="preserve">YAO Akissi Alexandra Hermance</t>
  </si>
  <si>
    <t xml:space="preserve">YOUAN Bi Emmanuel</t>
  </si>
  <si>
    <t xml:space="preserve">Arrondi</t>
  </si>
  <si>
    <t xml:space="preserve">PRIME Controleur Qualité &amp; Formation</t>
  </si>
  <si>
    <t xml:space="preserve">PRIME MANAGER CRC</t>
  </si>
  <si>
    <t xml:space="preserve">Note qualité</t>
  </si>
  <si>
    <t xml:space="preserve">Prime MTN Juillet</t>
  </si>
  <si>
    <t xml:space="preserve">Prime FIDELIS</t>
  </si>
  <si>
    <t xml:space="preserve">Rendement</t>
  </si>
  <si>
    <t xml:space="preserve">Regule Juin</t>
  </si>
  <si>
    <t xml:space="preserve">Prime de supervision FIDELIS</t>
  </si>
  <si>
    <t xml:space="preserve">Total prime à payer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</si>
</sst>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_(* #,##0_);_(* \(#,##0\);_(* \-??_);_(@_)"/>
    <numFmt numFmtId="167" formatCode="[$-40C]mmm\-yy;@"/>
    <numFmt numFmtId="168" formatCode="_(* #,##0.0_);_(* \(#,##0.0\);_(* \-??_);_(@_)"/>
    <numFmt numFmtId="169" formatCode="_-* #,##0.00\ _€_-;\-* #,##0.00\ _€_-;_-* \-?\ _€_-;_-@_-"/>
    <numFmt numFmtId="170" formatCode="0.0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Calibri"/>
      <family val="2"/>
      <charset val="1"/>
    </font>
    <font>
      <sz val="8"/>
      <color rgb="FF000000"/>
      <name val="Calibri Light"/>
      <family val="2"/>
      <charset val="1"/>
    </font>
    <font>
      <b val="true"/>
      <sz val="8"/>
      <color theme="1"/>
      <name val="Calibri Light"/>
      <family val="2"/>
      <charset val="1"/>
    </font>
    <font>
      <sz val="8"/>
      <color theme="1"/>
      <name val="Calibri Light"/>
      <family val="2"/>
      <charset val="1"/>
    </font>
    <font>
      <i val="true"/>
      <sz val="8"/>
      <color rgb="FF808080"/>
      <name val="Calibri"/>
      <family val="0"/>
      <charset val="1"/>
    </font>
    <font>
      <b val="true"/>
      <sz val="8"/>
      <name val="Calibri Light"/>
      <family val="2"/>
      <charset val="1"/>
    </font>
    <font>
      <sz val="8"/>
      <color rgb="FFFF0000"/>
      <name val="Calibri"/>
      <family val="2"/>
      <charset val="1"/>
    </font>
    <font>
      <b val="true"/>
      <sz val="8"/>
      <color rgb="FFFF0000"/>
      <name val="Calibri Light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theme="0" tint="-0.25"/>
        <bgColor rgb="FFB4C7E7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theme="4" tint="0.7999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theme="4" tint="0.3999"/>
        <bgColor rgb="FFB4C7E7"/>
      </patternFill>
    </fill>
    <fill>
      <patternFill patternType="solid">
        <fgColor theme="4" tint="0.5999"/>
        <bgColor rgb="FFBFBFBF"/>
      </patternFill>
    </fill>
    <fill>
      <patternFill patternType="solid">
        <fgColor theme="5" tint="0.3999"/>
        <bgColor rgb="FFFF99CC"/>
      </patternFill>
    </fill>
    <fill>
      <patternFill patternType="solid">
        <fgColor rgb="FF00B050"/>
        <bgColor rgb="FF008080"/>
      </patternFill>
    </fill>
    <fill>
      <patternFill patternType="solid">
        <fgColor theme="9" tint="0.3999"/>
        <bgColor rgb="FFBFBFBF"/>
      </patternFill>
    </fill>
  </fills>
  <borders count="22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9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9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9" fillId="3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9" fillId="3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9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9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9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9" fillId="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9" fillId="4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9" fillId="4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9" fillId="5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9" fillId="5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9" fillId="0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9" fillId="0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9" fillId="0" borderId="1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9" fillId="0" borderId="1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9" fillId="0" borderId="1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9" fillId="0" borderId="1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9" fillId="0" borderId="1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1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10" fillId="0" borderId="1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9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9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3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9" fillId="5" borderId="1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9" fillId="0" borderId="1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9" fillId="6" borderId="1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9" fillId="6" borderId="1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9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9" fillId="3" borderId="1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9" fillId="0" borderId="1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9" fillId="6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9" fillId="0" borderId="1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9" fillId="0" borderId="1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0" fillId="0" borderId="1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9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10" borderId="1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11" borderId="2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DAE3F3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C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FAADC"/>
      <rgbColor rgb="FF993366"/>
      <rgbColor rgb="FFFFF2CC"/>
      <rgbColor rgb="FFDAE3F3"/>
      <rgbColor rgb="FF660066"/>
      <rgbColor rgb="FFFF80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9D18E"/>
      <rgbColor rgb="FFFF99CC"/>
      <rgbColor rgb="FFCC99FF"/>
      <rgbColor rgb="FFF4B183"/>
      <rgbColor rgb="FF3366FF"/>
      <rgbColor rgb="FF33CCCC"/>
      <rgbColor rgb="FF99CC00"/>
      <rgbColor rgb="FFFFC000"/>
      <rgbColor rgb="FFFF9900"/>
      <rgbColor rgb="FFFF6600"/>
      <rgbColor rgb="FF666699"/>
      <rgbColor rgb="FF70AD47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R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F1" activePane="topRight" state="frozen"/>
      <selection pane="topLeft" activeCell="A1" activeCellId="0" sqref="A1"/>
      <selection pane="topRight" activeCell="I42" activeCellId="0" sqref="I42"/>
    </sheetView>
  </sheetViews>
  <sheetFormatPr defaultColWidth="13.5625" defaultRowHeight="9.75" zeroHeight="false" outlineLevelRow="0" outlineLevelCol="0"/>
  <cols>
    <col collapsed="false" customWidth="true" hidden="false" outlineLevel="0" max="1" min="1" style="1" width="34.66"/>
    <col collapsed="false" customWidth="true" hidden="false" outlineLevel="0" max="2" min="2" style="1" width="10.44"/>
    <col collapsed="false" customWidth="true" hidden="false" outlineLevel="0" max="3" min="3" style="1" width="14.21"/>
    <col collapsed="false" customWidth="true" hidden="false" outlineLevel="0" max="4" min="4" style="1" width="16.67"/>
    <col collapsed="false" customWidth="true" hidden="false" outlineLevel="0" max="5" min="5" style="2" width="16.33"/>
    <col collapsed="false" customWidth="true" hidden="false" outlineLevel="0" max="6" min="6" style="1" width="10.88"/>
    <col collapsed="false" customWidth="true" hidden="false" outlineLevel="0" max="7" min="7" style="1" width="15.56"/>
    <col collapsed="false" customWidth="true" hidden="false" outlineLevel="0" max="8" min="8" style="1" width="14.88"/>
    <col collapsed="false" customWidth="true" hidden="false" outlineLevel="0" max="9" min="9" style="1" width="15.66"/>
    <col collapsed="false" customWidth="true" hidden="false" outlineLevel="0" max="10" min="10" style="1" width="17.67"/>
    <col collapsed="false" customWidth="true" hidden="false" outlineLevel="0" max="11" min="11" style="1" width="15.33"/>
    <col collapsed="false" customWidth="true" hidden="false" outlineLevel="0" max="12" min="12" style="1" width="15.56"/>
    <col collapsed="false" customWidth="true" hidden="false" outlineLevel="0" max="14" min="13" style="1" width="13.34"/>
    <col collapsed="false" customWidth="true" hidden="false" outlineLevel="0" max="15" min="15" style="1" width="12.11"/>
    <col collapsed="false" customWidth="false" hidden="false" outlineLevel="0" max="16384" min="16" style="1" width="13.56"/>
  </cols>
  <sheetData>
    <row r="1" customFormat="false" ht="9.75" hidden="false" customHeight="true" outlineLevel="0" collapsed="false">
      <c r="A1" s="3"/>
      <c r="B1" s="3"/>
      <c r="C1" s="3"/>
      <c r="D1" s="3"/>
      <c r="E1" s="4"/>
      <c r="F1" s="3"/>
      <c r="G1" s="3"/>
      <c r="H1" s="3"/>
      <c r="I1" s="3"/>
    </row>
    <row r="2" customFormat="false" ht="9.75" hidden="false" customHeight="true" outlineLevel="0" collapsed="false">
      <c r="A2" s="3"/>
      <c r="B2" s="3"/>
      <c r="C2" s="3"/>
      <c r="D2" s="3"/>
      <c r="E2" s="4"/>
      <c r="F2" s="3"/>
      <c r="G2" s="5" t="s">
        <v>0</v>
      </c>
      <c r="H2" s="5"/>
      <c r="I2" s="5"/>
    </row>
    <row r="3" customFormat="false" ht="9.75" hidden="false" customHeight="true" outlineLevel="0" collapsed="false">
      <c r="A3" s="3"/>
      <c r="B3" s="3"/>
      <c r="C3" s="3"/>
      <c r="D3" s="3"/>
      <c r="E3" s="4"/>
      <c r="F3" s="3"/>
      <c r="G3" s="3"/>
      <c r="H3" s="3"/>
      <c r="I3" s="3"/>
    </row>
    <row r="4" customFormat="false" ht="9.75" hidden="false" customHeight="true" outlineLevel="0" collapsed="false">
      <c r="A4" s="3"/>
      <c r="B4" s="3"/>
      <c r="C4" s="3"/>
      <c r="D4" s="3"/>
      <c r="E4" s="4"/>
      <c r="F4" s="3"/>
      <c r="G4" s="3"/>
      <c r="H4" s="3"/>
      <c r="I4" s="3"/>
      <c r="M4" s="6"/>
      <c r="N4" s="6"/>
    </row>
    <row r="5" customFormat="false" ht="9.75" hidden="false" customHeight="true" outlineLevel="0" collapsed="false">
      <c r="A5" s="7" t="s">
        <v>1</v>
      </c>
      <c r="B5" s="7"/>
      <c r="C5" s="7"/>
      <c r="D5" s="3"/>
      <c r="E5" s="4"/>
      <c r="F5" s="3"/>
      <c r="G5" s="3"/>
      <c r="H5" s="8" t="n">
        <v>46235</v>
      </c>
      <c r="I5" s="8"/>
    </row>
    <row r="6" customFormat="false" ht="10.5" hidden="false" customHeight="true" outlineLevel="0" collapsed="false">
      <c r="A6" s="3"/>
      <c r="B6" s="3"/>
      <c r="C6" s="3"/>
      <c r="D6" s="3"/>
      <c r="E6" s="4"/>
      <c r="F6" s="3"/>
      <c r="G6" s="3"/>
      <c r="H6" s="3"/>
      <c r="I6" s="3"/>
      <c r="Q6" s="9" t="s">
        <v>2</v>
      </c>
      <c r="R6" s="9" t="s">
        <v>2</v>
      </c>
    </row>
    <row r="7" customFormat="false" ht="21" hidden="false" customHeight="true" outlineLevel="0" collapsed="false">
      <c r="A7" s="10" t="s">
        <v>3</v>
      </c>
      <c r="B7" s="11" t="s">
        <v>4</v>
      </c>
      <c r="C7" s="11" t="s">
        <v>5</v>
      </c>
      <c r="D7" s="12" t="s">
        <v>6</v>
      </c>
      <c r="E7" s="13" t="s">
        <v>7</v>
      </c>
      <c r="F7" s="14" t="s">
        <v>8</v>
      </c>
      <c r="G7" s="15" t="s">
        <v>9</v>
      </c>
      <c r="H7" s="16" t="s">
        <v>10</v>
      </c>
      <c r="I7" s="17" t="s">
        <v>11</v>
      </c>
      <c r="J7" s="17" t="s">
        <v>12</v>
      </c>
      <c r="K7" s="18" t="s">
        <v>13</v>
      </c>
      <c r="L7" s="14" t="s">
        <v>14</v>
      </c>
      <c r="M7" s="19" t="s">
        <v>15</v>
      </c>
      <c r="N7" s="20" t="s">
        <v>16</v>
      </c>
      <c r="O7" s="21" t="s">
        <v>17</v>
      </c>
      <c r="P7" s="21" t="s">
        <v>18</v>
      </c>
      <c r="Q7" s="22" t="s">
        <v>19</v>
      </c>
      <c r="R7" s="22" t="s">
        <v>20</v>
      </c>
    </row>
    <row r="8" customFormat="false" ht="10.5" hidden="false" customHeight="true" outlineLevel="0" collapsed="false">
      <c r="A8" s="23" t="s">
        <v>21</v>
      </c>
      <c r="B8" s="24" t="s">
        <v>22</v>
      </c>
      <c r="C8" s="25" t="s">
        <v>23</v>
      </c>
      <c r="D8" s="26" t="s">
        <v>24</v>
      </c>
      <c r="E8" s="27" t="n">
        <v>100000</v>
      </c>
      <c r="F8" s="28" t="n">
        <v>160</v>
      </c>
      <c r="G8" s="29" t="n">
        <f aca="false">E8/F8</f>
        <v>625</v>
      </c>
      <c r="H8" s="30" t="n">
        <f aca="false">G8*J8</f>
        <v>89000</v>
      </c>
      <c r="I8" s="29" t="n">
        <f aca="false">ROUNDDOWN(H8,-1)</f>
        <v>89000</v>
      </c>
      <c r="J8" s="31" t="n">
        <v>142.4</v>
      </c>
      <c r="K8" s="32" t="n">
        <f aca="false">F8-J8</f>
        <v>17.6</v>
      </c>
      <c r="L8" s="33" t="n">
        <f aca="false">H8-E8</f>
        <v>-11000</v>
      </c>
      <c r="M8" s="34" t="n">
        <v>9445.824</v>
      </c>
      <c r="N8" s="34"/>
      <c r="O8" s="30" t="n">
        <f aca="false">H8+M8+N8</f>
        <v>98445.824</v>
      </c>
      <c r="P8" s="35" t="n">
        <v>98445</v>
      </c>
      <c r="Q8" s="36" t="s">
        <v>25</v>
      </c>
      <c r="R8" s="36" t="s">
        <v>26</v>
      </c>
    </row>
    <row r="9" customFormat="false" ht="10.5" hidden="false" customHeight="true" outlineLevel="0" collapsed="false">
      <c r="A9" s="37" t="s">
        <v>27</v>
      </c>
      <c r="B9" s="24" t="s">
        <v>22</v>
      </c>
      <c r="C9" s="25" t="s">
        <v>23</v>
      </c>
      <c r="D9" s="26" t="s">
        <v>24</v>
      </c>
      <c r="E9" s="27" t="n">
        <v>140000</v>
      </c>
      <c r="F9" s="28" t="n">
        <v>160</v>
      </c>
      <c r="G9" s="29" t="n">
        <f aca="false">E9/F9</f>
        <v>875</v>
      </c>
      <c r="H9" s="30" t="n">
        <f aca="false">G9*J9</f>
        <v>140000</v>
      </c>
      <c r="I9" s="29" t="n">
        <f aca="false">ROUNDDOWN(H9,-1)</f>
        <v>140000</v>
      </c>
      <c r="J9" s="31" t="n">
        <v>160</v>
      </c>
      <c r="K9" s="32" t="n">
        <f aca="false">F9-J9</f>
        <v>0</v>
      </c>
      <c r="L9" s="33" t="n">
        <f aca="false">H9-E9</f>
        <v>0</v>
      </c>
      <c r="M9" s="34" t="n">
        <v>41981.44</v>
      </c>
      <c r="N9" s="34"/>
      <c r="O9" s="30" t="n">
        <f aca="false">H9+M9+N9</f>
        <v>181981.44</v>
      </c>
      <c r="P9" s="35" t="n">
        <v>181981</v>
      </c>
      <c r="Q9" s="36" t="s">
        <v>28</v>
      </c>
      <c r="R9" s="36" t="s">
        <v>29</v>
      </c>
    </row>
    <row r="10" customFormat="false" ht="10.5" hidden="false" customHeight="true" outlineLevel="0" collapsed="false">
      <c r="A10" s="38" t="s">
        <v>30</v>
      </c>
      <c r="B10" s="24" t="s">
        <v>22</v>
      </c>
      <c r="C10" s="25" t="s">
        <v>23</v>
      </c>
      <c r="D10" s="26" t="s">
        <v>24</v>
      </c>
      <c r="E10" s="27" t="n">
        <v>140000</v>
      </c>
      <c r="F10" s="28" t="n">
        <v>160</v>
      </c>
      <c r="G10" s="29" t="n">
        <f aca="false">E10/F10</f>
        <v>875</v>
      </c>
      <c r="H10" s="30" t="n">
        <f aca="false">G10*J10</f>
        <v>138950</v>
      </c>
      <c r="I10" s="29" t="n">
        <f aca="false">ROUNDDOWN(H10,-1)</f>
        <v>138950</v>
      </c>
      <c r="J10" s="31" t="n">
        <v>158.8</v>
      </c>
      <c r="K10" s="32" t="n">
        <f aca="false">F10-J10</f>
        <v>1.19999999999999</v>
      </c>
      <c r="L10" s="33" t="n">
        <f aca="false">H10-E10</f>
        <v>-1050</v>
      </c>
      <c r="M10" s="34" t="n">
        <v>5247.68</v>
      </c>
      <c r="N10" s="34" t="n">
        <v>25000</v>
      </c>
      <c r="O10" s="30" t="n">
        <f aca="false">H10+M10+N10</f>
        <v>169197.68</v>
      </c>
      <c r="P10" s="35" t="n">
        <v>169197</v>
      </c>
      <c r="Q10" s="36" t="s">
        <v>31</v>
      </c>
      <c r="R10" s="36"/>
    </row>
    <row r="11" customFormat="false" ht="10.5" hidden="false" customHeight="true" outlineLevel="0" collapsed="false">
      <c r="A11" s="38" t="s">
        <v>32</v>
      </c>
      <c r="B11" s="24" t="s">
        <v>22</v>
      </c>
      <c r="C11" s="25" t="s">
        <v>23</v>
      </c>
      <c r="D11" s="26" t="s">
        <v>24</v>
      </c>
      <c r="E11" s="27" t="n">
        <v>100000</v>
      </c>
      <c r="F11" s="28" t="n">
        <v>160</v>
      </c>
      <c r="G11" s="29" t="n">
        <f aca="false">E11/F11</f>
        <v>625</v>
      </c>
      <c r="H11" s="30" t="n">
        <f aca="false">G11*J11</f>
        <v>90000</v>
      </c>
      <c r="I11" s="29" t="n">
        <f aca="false">ROUNDDOWN(H11,-1)</f>
        <v>90000</v>
      </c>
      <c r="J11" s="31" t="n">
        <v>144</v>
      </c>
      <c r="K11" s="32" t="n">
        <f aca="false">F11-J11</f>
        <v>16</v>
      </c>
      <c r="L11" s="33" t="n">
        <f aca="false">H11-E11</f>
        <v>-10000</v>
      </c>
      <c r="M11" s="34"/>
      <c r="N11" s="34"/>
      <c r="O11" s="30" t="n">
        <f aca="false">H11+M11+N11</f>
        <v>90000</v>
      </c>
      <c r="P11" s="35" t="n">
        <v>90000</v>
      </c>
      <c r="Q11" s="36"/>
      <c r="R11" s="36"/>
    </row>
    <row r="12" customFormat="false" ht="10.5" hidden="false" customHeight="true" outlineLevel="0" collapsed="false">
      <c r="A12" s="38" t="s">
        <v>33</v>
      </c>
      <c r="B12" s="24" t="s">
        <v>22</v>
      </c>
      <c r="C12" s="25" t="s">
        <v>23</v>
      </c>
      <c r="D12" s="26" t="s">
        <v>24</v>
      </c>
      <c r="E12" s="27" t="n">
        <v>100000</v>
      </c>
      <c r="F12" s="28" t="n">
        <v>160</v>
      </c>
      <c r="G12" s="29" t="n">
        <f aca="false">E12/F12</f>
        <v>625</v>
      </c>
      <c r="H12" s="30" t="n">
        <f aca="false">G12*J12</f>
        <v>91500</v>
      </c>
      <c r="I12" s="29" t="n">
        <f aca="false">ROUNDDOWN(H12,-1)</f>
        <v>91500</v>
      </c>
      <c r="J12" s="31" t="n">
        <v>146.4</v>
      </c>
      <c r="K12" s="32" t="n">
        <f aca="false">F12-J12</f>
        <v>13.6</v>
      </c>
      <c r="L12" s="33" t="n">
        <f aca="false">H12-E12</f>
        <v>-8500</v>
      </c>
      <c r="M12" s="34" t="n">
        <v>5247.68</v>
      </c>
      <c r="N12" s="34"/>
      <c r="O12" s="30" t="n">
        <f aca="false">H12+M12+N12</f>
        <v>96747.68</v>
      </c>
      <c r="P12" s="35" t="n">
        <v>96747</v>
      </c>
      <c r="Q12" s="36"/>
      <c r="R12" s="36"/>
    </row>
    <row r="13" customFormat="false" ht="10.5" hidden="false" customHeight="true" outlineLevel="0" collapsed="false">
      <c r="A13" s="38" t="s">
        <v>34</v>
      </c>
      <c r="B13" s="24" t="s">
        <v>22</v>
      </c>
      <c r="C13" s="25" t="s">
        <v>23</v>
      </c>
      <c r="D13" s="26" t="s">
        <v>24</v>
      </c>
      <c r="E13" s="39" t="n">
        <v>100000</v>
      </c>
      <c r="F13" s="28" t="n">
        <v>160</v>
      </c>
      <c r="G13" s="29" t="n">
        <f aca="false">E13/F13</f>
        <v>625</v>
      </c>
      <c r="H13" s="30" t="n">
        <f aca="false">G13*J13</f>
        <v>99625</v>
      </c>
      <c r="I13" s="29" t="n">
        <f aca="false">ROUNDDOWN(H13,-1)</f>
        <v>99620</v>
      </c>
      <c r="J13" s="31" t="n">
        <v>159.4</v>
      </c>
      <c r="K13" s="32" t="n">
        <f aca="false">F13-J13</f>
        <v>0.599999999999994</v>
      </c>
      <c r="L13" s="33" t="n">
        <f aca="false">H13-E13</f>
        <v>-375</v>
      </c>
      <c r="M13" s="34"/>
      <c r="N13" s="34"/>
      <c r="O13" s="30" t="n">
        <f aca="false">H13+M13+N13</f>
        <v>99625</v>
      </c>
      <c r="P13" s="35" t="n">
        <v>99625</v>
      </c>
      <c r="Q13" s="36"/>
      <c r="R13" s="36"/>
    </row>
    <row r="14" customFormat="false" ht="10.5" hidden="false" customHeight="true" outlineLevel="0" collapsed="false">
      <c r="A14" s="38" t="s">
        <v>35</v>
      </c>
      <c r="B14" s="24" t="s">
        <v>22</v>
      </c>
      <c r="C14" s="25" t="s">
        <v>23</v>
      </c>
      <c r="D14" s="26" t="s">
        <v>24</v>
      </c>
      <c r="E14" s="39" t="n">
        <v>100000</v>
      </c>
      <c r="F14" s="28" t="n">
        <v>160</v>
      </c>
      <c r="G14" s="29" t="n">
        <f aca="false">E14/F14</f>
        <v>625</v>
      </c>
      <c r="H14" s="30" t="n">
        <f aca="false">G14*J14</f>
        <v>0</v>
      </c>
      <c r="I14" s="29" t="n">
        <f aca="false">ROUNDDOWN(H14,-1)</f>
        <v>0</v>
      </c>
      <c r="J14" s="31" t="n">
        <v>0</v>
      </c>
      <c r="K14" s="32" t="n">
        <f aca="false">F14-J14</f>
        <v>160</v>
      </c>
      <c r="L14" s="33" t="n">
        <f aca="false">H14-E14</f>
        <v>-100000</v>
      </c>
      <c r="M14" s="34" t="n">
        <v>5247.68</v>
      </c>
      <c r="N14" s="34"/>
      <c r="O14" s="30" t="n">
        <f aca="false">H14+M14+N14</f>
        <v>5247.68</v>
      </c>
      <c r="P14" s="35" t="n">
        <v>5247.68</v>
      </c>
      <c r="Q14" s="36"/>
      <c r="R14" s="36"/>
    </row>
    <row r="15" customFormat="false" ht="10.5" hidden="false" customHeight="true" outlineLevel="0" collapsed="false">
      <c r="A15" s="40" t="s">
        <v>36</v>
      </c>
      <c r="B15" s="41" t="s">
        <v>37</v>
      </c>
      <c r="C15" s="42" t="s">
        <v>38</v>
      </c>
      <c r="D15" s="26" t="s">
        <v>24</v>
      </c>
      <c r="E15" s="39" t="n">
        <v>120000</v>
      </c>
      <c r="F15" s="28" t="n">
        <v>154</v>
      </c>
      <c r="G15" s="29" t="n">
        <f aca="false">E15/F15</f>
        <v>779.220779220779</v>
      </c>
      <c r="H15" s="30" t="n">
        <f aca="false">G15*J15</f>
        <v>115870.12987013</v>
      </c>
      <c r="I15" s="29" t="n">
        <f aca="false">ROUNDDOWN(H15,-1)</f>
        <v>115870</v>
      </c>
      <c r="J15" s="31" t="n">
        <v>148.7</v>
      </c>
      <c r="K15" s="32" t="n">
        <f aca="false">F15-J15</f>
        <v>5.30000000000001</v>
      </c>
      <c r="L15" s="33" t="n">
        <f aca="false">H15-E15</f>
        <v>-4129.87012987013</v>
      </c>
      <c r="M15" s="34" t="n">
        <v>17860</v>
      </c>
      <c r="N15" s="34"/>
      <c r="O15" s="30" t="n">
        <f aca="false">H15+M15+N15</f>
        <v>133730.12987013</v>
      </c>
      <c r="P15" s="35" t="n">
        <v>133730</v>
      </c>
      <c r="Q15" s="36"/>
      <c r="R15" s="36"/>
    </row>
    <row r="16" customFormat="false" ht="10.5" hidden="false" customHeight="true" outlineLevel="0" collapsed="false">
      <c r="A16" s="40" t="s">
        <v>39</v>
      </c>
      <c r="B16" s="41" t="s">
        <v>37</v>
      </c>
      <c r="C16" s="42" t="s">
        <v>38</v>
      </c>
      <c r="D16" s="26" t="s">
        <v>24</v>
      </c>
      <c r="E16" s="39" t="n">
        <v>120000</v>
      </c>
      <c r="F16" s="28" t="n">
        <v>154</v>
      </c>
      <c r="G16" s="29" t="n">
        <f aca="false">E16/F16</f>
        <v>779.220779220779</v>
      </c>
      <c r="H16" s="30" t="n">
        <f aca="false">G16*J16</f>
        <v>122922.077922078</v>
      </c>
      <c r="I16" s="29" t="n">
        <f aca="false">ROUNDDOWN(H16,-1)</f>
        <v>122920</v>
      </c>
      <c r="J16" s="31" t="n">
        <v>157.75</v>
      </c>
      <c r="K16" s="32" t="n">
        <f aca="false">F16-J16</f>
        <v>-3.75</v>
      </c>
      <c r="L16" s="33" t="n">
        <f aca="false">H16-E16</f>
        <v>2922.07792207792</v>
      </c>
      <c r="M16" s="34" t="n">
        <v>64740</v>
      </c>
      <c r="N16" s="34" t="n">
        <v>25000</v>
      </c>
      <c r="O16" s="30" t="n">
        <f aca="false">H16+M16+N16</f>
        <v>212662.077922078</v>
      </c>
      <c r="P16" s="35" t="n">
        <v>212662</v>
      </c>
      <c r="Q16" s="36"/>
      <c r="R16" s="36"/>
    </row>
    <row r="17" customFormat="false" ht="10.5" hidden="false" customHeight="true" outlineLevel="0" collapsed="false">
      <c r="A17" s="40" t="s">
        <v>40</v>
      </c>
      <c r="B17" s="41" t="s">
        <v>37</v>
      </c>
      <c r="C17" s="42" t="s">
        <v>38</v>
      </c>
      <c r="D17" s="26" t="s">
        <v>24</v>
      </c>
      <c r="E17" s="27" t="n">
        <v>100000</v>
      </c>
      <c r="F17" s="28" t="n">
        <v>154</v>
      </c>
      <c r="G17" s="29" t="n">
        <f aca="false">E17/F17</f>
        <v>649.350649350649</v>
      </c>
      <c r="H17" s="30" t="n">
        <f aca="false">G17*J17</f>
        <v>93409.0909090909</v>
      </c>
      <c r="I17" s="29" t="n">
        <f aca="false">ROUNDDOWN(H17,-1)</f>
        <v>93400</v>
      </c>
      <c r="J17" s="31" t="n">
        <v>143.85</v>
      </c>
      <c r="K17" s="32" t="n">
        <f aca="false">F17-J17</f>
        <v>10.15</v>
      </c>
      <c r="L17" s="33" t="n">
        <f aca="false">H17-E17</f>
        <v>-6590.90909090909</v>
      </c>
      <c r="M17" s="34" t="n">
        <v>14500</v>
      </c>
      <c r="N17" s="34"/>
      <c r="O17" s="30" t="n">
        <f aca="false">H17+M17+N17</f>
        <v>107909.090909091</v>
      </c>
      <c r="P17" s="35" t="n">
        <v>107909</v>
      </c>
      <c r="Q17" s="36"/>
      <c r="R17" s="36"/>
    </row>
    <row r="18" customFormat="false" ht="10.5" hidden="false" customHeight="true" outlineLevel="0" collapsed="false">
      <c r="A18" s="40" t="s">
        <v>41</v>
      </c>
      <c r="B18" s="41" t="s">
        <v>37</v>
      </c>
      <c r="C18" s="42" t="s">
        <v>38</v>
      </c>
      <c r="D18" s="26" t="s">
        <v>24</v>
      </c>
      <c r="E18" s="27" t="n">
        <v>100000</v>
      </c>
      <c r="F18" s="28" t="n">
        <v>154</v>
      </c>
      <c r="G18" s="29" t="n">
        <f aca="false">E18/F18</f>
        <v>649.350649350649</v>
      </c>
      <c r="H18" s="30" t="n">
        <f aca="false">G18*J18</f>
        <v>101915.584415584</v>
      </c>
      <c r="I18" s="29" t="n">
        <f aca="false">ROUNDDOWN(H18,-1)</f>
        <v>101910</v>
      </c>
      <c r="J18" s="31" t="n">
        <v>156.95</v>
      </c>
      <c r="K18" s="32" t="n">
        <f aca="false">F18-J18</f>
        <v>-2.94999999999999</v>
      </c>
      <c r="L18" s="33" t="n">
        <f aca="false">H18-E18</f>
        <v>1915.58441558441</v>
      </c>
      <c r="M18" s="34" t="n">
        <v>7300</v>
      </c>
      <c r="N18" s="34"/>
      <c r="O18" s="30" t="n">
        <f aca="false">H18+M18+N18</f>
        <v>109215.584415584</v>
      </c>
      <c r="P18" s="35" t="n">
        <v>109215</v>
      </c>
      <c r="Q18" s="36"/>
      <c r="R18" s="36"/>
    </row>
    <row r="19" customFormat="false" ht="10.5" hidden="false" customHeight="true" outlineLevel="0" collapsed="false">
      <c r="A19" s="43" t="s">
        <v>42</v>
      </c>
      <c r="B19" s="41" t="s">
        <v>37</v>
      </c>
      <c r="C19" s="42" t="s">
        <v>38</v>
      </c>
      <c r="D19" s="26" t="s">
        <v>24</v>
      </c>
      <c r="E19" s="39" t="n">
        <v>120000</v>
      </c>
      <c r="F19" s="28" t="n">
        <v>154</v>
      </c>
      <c r="G19" s="29" t="n">
        <f aca="false">E19/F19</f>
        <v>779.220779220779</v>
      </c>
      <c r="H19" s="30" t="n">
        <f aca="false">G19*J19</f>
        <v>118441.558441558</v>
      </c>
      <c r="I19" s="29" t="n">
        <f aca="false">ROUNDDOWN(H19,-1)</f>
        <v>118440</v>
      </c>
      <c r="J19" s="31" t="n">
        <v>152</v>
      </c>
      <c r="K19" s="32" t="n">
        <f aca="false">F19-J19</f>
        <v>2</v>
      </c>
      <c r="L19" s="33" t="n">
        <f aca="false">H19-E19</f>
        <v>-1558.44155844155</v>
      </c>
      <c r="M19" s="34" t="n">
        <v>18300</v>
      </c>
      <c r="N19" s="34"/>
      <c r="O19" s="30" t="n">
        <f aca="false">H19+M19+N19</f>
        <v>136741.558441558</v>
      </c>
      <c r="P19" s="35" t="n">
        <v>136741</v>
      </c>
      <c r="Q19" s="36"/>
      <c r="R19" s="36"/>
    </row>
    <row r="20" customFormat="false" ht="10.5" hidden="false" customHeight="true" outlineLevel="0" collapsed="false">
      <c r="A20" s="40" t="s">
        <v>43</v>
      </c>
      <c r="B20" s="41" t="s">
        <v>37</v>
      </c>
      <c r="C20" s="42" t="s">
        <v>38</v>
      </c>
      <c r="D20" s="26" t="s">
        <v>24</v>
      </c>
      <c r="E20" s="27" t="n">
        <v>100000</v>
      </c>
      <c r="F20" s="28" t="n">
        <v>154</v>
      </c>
      <c r="G20" s="29" t="n">
        <f aca="false">E20/F20</f>
        <v>649.350649350649</v>
      </c>
      <c r="H20" s="30" t="n">
        <f aca="false">G20*J20</f>
        <v>96753.2467532468</v>
      </c>
      <c r="I20" s="29" t="n">
        <f aca="false">ROUNDDOWN(H20,-1)</f>
        <v>96750</v>
      </c>
      <c r="J20" s="31" t="n">
        <v>149</v>
      </c>
      <c r="K20" s="32" t="n">
        <f aca="false">F20-J20</f>
        <v>5</v>
      </c>
      <c r="L20" s="33" t="n">
        <f aca="false">H20-E20</f>
        <v>-3246.75324675324</v>
      </c>
      <c r="M20" s="44" t="n">
        <v>10240</v>
      </c>
      <c r="N20" s="34"/>
      <c r="O20" s="30" t="n">
        <f aca="false">H20+M20+N20</f>
        <v>106993.246753247</v>
      </c>
      <c r="P20" s="35" t="n">
        <v>106993</v>
      </c>
      <c r="Q20" s="36"/>
      <c r="R20" s="36"/>
    </row>
    <row r="21" customFormat="false" ht="10.5" hidden="false" customHeight="true" outlineLevel="0" collapsed="false">
      <c r="A21" s="40" t="s">
        <v>44</v>
      </c>
      <c r="B21" s="41" t="s">
        <v>37</v>
      </c>
      <c r="C21" s="42" t="s">
        <v>38</v>
      </c>
      <c r="D21" s="26" t="s">
        <v>24</v>
      </c>
      <c r="E21" s="27" t="n">
        <v>100000</v>
      </c>
      <c r="F21" s="28" t="n">
        <v>154</v>
      </c>
      <c r="G21" s="29" t="n">
        <f aca="false">E21/F21</f>
        <v>649.350649350649</v>
      </c>
      <c r="H21" s="30" t="n">
        <f aca="false">G21*J21</f>
        <v>91201.2987012987</v>
      </c>
      <c r="I21" s="29" t="n">
        <f aca="false">ROUNDDOWN(H21,-1)</f>
        <v>91200</v>
      </c>
      <c r="J21" s="31" t="n">
        <v>140.45</v>
      </c>
      <c r="K21" s="32" t="n">
        <f aca="false">F21-J21</f>
        <v>13.55</v>
      </c>
      <c r="L21" s="33" t="n">
        <f aca="false">H21-E21</f>
        <v>-8798.7012987013</v>
      </c>
      <c r="M21" s="44" t="n">
        <v>20200</v>
      </c>
      <c r="N21" s="34"/>
      <c r="O21" s="30" t="n">
        <f aca="false">H21+M21+N21</f>
        <v>111401.298701299</v>
      </c>
      <c r="P21" s="35" t="n">
        <v>111401</v>
      </c>
      <c r="Q21" s="36"/>
      <c r="R21" s="36"/>
    </row>
    <row r="22" customFormat="false" ht="10.5" hidden="false" customHeight="true" outlineLevel="0" collapsed="false">
      <c r="A22" s="40" t="s">
        <v>45</v>
      </c>
      <c r="B22" s="41" t="s">
        <v>37</v>
      </c>
      <c r="C22" s="42" t="s">
        <v>38</v>
      </c>
      <c r="D22" s="26" t="s">
        <v>24</v>
      </c>
      <c r="E22" s="39" t="n">
        <v>120000</v>
      </c>
      <c r="F22" s="28" t="n">
        <v>154</v>
      </c>
      <c r="G22" s="29" t="n">
        <f aca="false">E22/F22</f>
        <v>779.220779220779</v>
      </c>
      <c r="H22" s="30" t="n">
        <f aca="false">G22*J22</f>
        <v>122922.077922078</v>
      </c>
      <c r="I22" s="29" t="n">
        <f aca="false">ROUNDDOWN(H22,-1)</f>
        <v>122920</v>
      </c>
      <c r="J22" s="31" t="n">
        <v>157.75</v>
      </c>
      <c r="K22" s="32" t="n">
        <f aca="false">F22-J22</f>
        <v>-3.75</v>
      </c>
      <c r="L22" s="33" t="n">
        <f aca="false">H22-E22</f>
        <v>2922.07792207792</v>
      </c>
      <c r="M22" s="44" t="n">
        <v>12900</v>
      </c>
      <c r="N22" s="34"/>
      <c r="O22" s="30" t="n">
        <f aca="false">H22+M22+N22</f>
        <v>135822.077922078</v>
      </c>
      <c r="P22" s="35" t="n">
        <v>135822</v>
      </c>
      <c r="Q22" s="36"/>
      <c r="R22" s="36"/>
    </row>
    <row r="23" customFormat="false" ht="10.5" hidden="false" customHeight="true" outlineLevel="0" collapsed="false">
      <c r="A23" s="40" t="s">
        <v>46</v>
      </c>
      <c r="B23" s="41" t="s">
        <v>37</v>
      </c>
      <c r="C23" s="42" t="s">
        <v>38</v>
      </c>
      <c r="D23" s="26" t="s">
        <v>24</v>
      </c>
      <c r="E23" s="39" t="n">
        <v>120000</v>
      </c>
      <c r="F23" s="28" t="n">
        <v>154</v>
      </c>
      <c r="G23" s="29" t="n">
        <f aca="false">E23/F23</f>
        <v>779.220779220779</v>
      </c>
      <c r="H23" s="30" t="n">
        <f aca="false">G23*J23</f>
        <v>122844.155844156</v>
      </c>
      <c r="I23" s="29" t="n">
        <f aca="false">ROUNDDOWN(H23,-1)</f>
        <v>122840</v>
      </c>
      <c r="J23" s="31" t="n">
        <v>157.65</v>
      </c>
      <c r="K23" s="32" t="n">
        <f aca="false">F23-J23</f>
        <v>-3.65000000000001</v>
      </c>
      <c r="L23" s="33" t="n">
        <f aca="false">H23-E23</f>
        <v>2844.15584415586</v>
      </c>
      <c r="M23" s="44" t="n">
        <v>25260</v>
      </c>
      <c r="N23" s="34" t="n">
        <v>25000</v>
      </c>
      <c r="O23" s="30" t="n">
        <f aca="false">H23+M23+N23</f>
        <v>173104.155844156</v>
      </c>
      <c r="P23" s="35" t="n">
        <v>173104</v>
      </c>
      <c r="Q23" s="36"/>
      <c r="R23" s="36"/>
    </row>
    <row r="24" customFormat="false" ht="10.5" hidden="false" customHeight="true" outlineLevel="0" collapsed="false">
      <c r="A24" s="40" t="s">
        <v>47</v>
      </c>
      <c r="B24" s="41" t="s">
        <v>37</v>
      </c>
      <c r="C24" s="42" t="s">
        <v>38</v>
      </c>
      <c r="D24" s="26" t="s">
        <v>24</v>
      </c>
      <c r="E24" s="39" t="n">
        <v>120000</v>
      </c>
      <c r="F24" s="28" t="n">
        <v>154</v>
      </c>
      <c r="G24" s="29" t="n">
        <f aca="false">E24/F24</f>
        <v>779.220779220779</v>
      </c>
      <c r="H24" s="30" t="n">
        <f aca="false">G24*J24</f>
        <v>122532.467532468</v>
      </c>
      <c r="I24" s="29" t="n">
        <f aca="false">ROUNDDOWN(H24,-1)</f>
        <v>122530</v>
      </c>
      <c r="J24" s="31" t="n">
        <v>157.25</v>
      </c>
      <c r="K24" s="32" t="n">
        <f aca="false">F24-J24</f>
        <v>-3.25</v>
      </c>
      <c r="L24" s="33" t="n">
        <f aca="false">H24-E24</f>
        <v>2532.46753246753</v>
      </c>
      <c r="M24" s="44" t="n">
        <v>60360</v>
      </c>
      <c r="N24" s="34"/>
      <c r="O24" s="30" t="n">
        <f aca="false">H24+M24+N24</f>
        <v>182892.467532468</v>
      </c>
      <c r="P24" s="35" t="n">
        <v>182892</v>
      </c>
      <c r="Q24" s="36"/>
      <c r="R24" s="36"/>
    </row>
    <row r="25" customFormat="false" ht="10.5" hidden="false" customHeight="true" outlineLevel="0" collapsed="false">
      <c r="A25" s="43" t="s">
        <v>48</v>
      </c>
      <c r="B25" s="41" t="s">
        <v>37</v>
      </c>
      <c r="C25" s="42" t="s">
        <v>38</v>
      </c>
      <c r="D25" s="26" t="s">
        <v>24</v>
      </c>
      <c r="E25" s="39" t="n">
        <v>120000</v>
      </c>
      <c r="F25" s="28" t="n">
        <v>154</v>
      </c>
      <c r="G25" s="29" t="n">
        <f aca="false">E25/F25</f>
        <v>779.220779220779</v>
      </c>
      <c r="H25" s="30" t="n">
        <f aca="false">G25*J25</f>
        <v>122922.077922078</v>
      </c>
      <c r="I25" s="29" t="n">
        <f aca="false">ROUNDDOWN(H25,-1)</f>
        <v>122920</v>
      </c>
      <c r="J25" s="31" t="n">
        <v>157.75</v>
      </c>
      <c r="K25" s="32" t="n">
        <f aca="false">F25-J25</f>
        <v>-3.75</v>
      </c>
      <c r="L25" s="33" t="n">
        <f aca="false">H25-E25</f>
        <v>2922.07792207792</v>
      </c>
      <c r="M25" s="44" t="n">
        <v>34860</v>
      </c>
      <c r="N25" s="34"/>
      <c r="O25" s="30" t="n">
        <f aca="false">H25+M25+N25</f>
        <v>157782.077922078</v>
      </c>
      <c r="P25" s="35" t="n">
        <v>157782</v>
      </c>
      <c r="Q25" s="36"/>
      <c r="R25" s="36"/>
    </row>
    <row r="26" customFormat="false" ht="10.5" hidden="false" customHeight="true" outlineLevel="0" collapsed="false">
      <c r="A26" s="40" t="s">
        <v>49</v>
      </c>
      <c r="B26" s="41" t="s">
        <v>37</v>
      </c>
      <c r="C26" s="42" t="s">
        <v>38</v>
      </c>
      <c r="D26" s="26" t="s">
        <v>24</v>
      </c>
      <c r="E26" s="39" t="n">
        <v>120000</v>
      </c>
      <c r="F26" s="28" t="n">
        <v>154</v>
      </c>
      <c r="G26" s="29" t="n">
        <f aca="false">E26/F26</f>
        <v>779.220779220779</v>
      </c>
      <c r="H26" s="30" t="n">
        <f aca="false">G26*J26</f>
        <v>111233.766233766</v>
      </c>
      <c r="I26" s="29" t="n">
        <f aca="false">ROUNDDOWN(H26,-1)</f>
        <v>111230</v>
      </c>
      <c r="J26" s="31" t="n">
        <v>142.75</v>
      </c>
      <c r="K26" s="32" t="n">
        <f aca="false">F26-J26</f>
        <v>11.25</v>
      </c>
      <c r="L26" s="33" t="n">
        <f aca="false">H26-E26</f>
        <v>-8766.23376623377</v>
      </c>
      <c r="M26" s="44" t="n">
        <v>9700</v>
      </c>
      <c r="N26" s="34"/>
      <c r="O26" s="30" t="n">
        <f aca="false">H26+M26+N26</f>
        <v>120933.766233766</v>
      </c>
      <c r="P26" s="35" t="n">
        <v>120933</v>
      </c>
      <c r="Q26" s="36"/>
      <c r="R26" s="36"/>
    </row>
    <row r="27" customFormat="false" ht="10.5" hidden="false" customHeight="true" outlineLevel="0" collapsed="false">
      <c r="A27" s="40" t="s">
        <v>50</v>
      </c>
      <c r="B27" s="41" t="s">
        <v>37</v>
      </c>
      <c r="C27" s="42" t="s">
        <v>38</v>
      </c>
      <c r="D27" s="26" t="s">
        <v>24</v>
      </c>
      <c r="E27" s="39" t="n">
        <v>120000</v>
      </c>
      <c r="F27" s="28" t="n">
        <v>154</v>
      </c>
      <c r="G27" s="29" t="n">
        <f aca="false">E27/F27</f>
        <v>779.220779220779</v>
      </c>
      <c r="H27" s="30" t="n">
        <f aca="false">G27*J27</f>
        <v>116345.454545455</v>
      </c>
      <c r="I27" s="29" t="n">
        <f aca="false">ROUNDDOWN(H27,-1)</f>
        <v>116340</v>
      </c>
      <c r="J27" s="31" t="n">
        <v>149.31</v>
      </c>
      <c r="K27" s="32" t="n">
        <f aca="false">F27-J27</f>
        <v>4.69</v>
      </c>
      <c r="L27" s="33" t="n">
        <f aca="false">H27-E27</f>
        <v>-3654.54545454544</v>
      </c>
      <c r="M27" s="44" t="n">
        <v>6800</v>
      </c>
      <c r="N27" s="34"/>
      <c r="O27" s="30" t="n">
        <f aca="false">H27+M27+N27</f>
        <v>123145.454545455</v>
      </c>
      <c r="P27" s="35" t="n">
        <v>123145</v>
      </c>
      <c r="Q27" s="36"/>
      <c r="R27" s="36"/>
    </row>
    <row r="28" customFormat="false" ht="10.5" hidden="false" customHeight="true" outlineLevel="0" collapsed="false">
      <c r="A28" s="43" t="s">
        <v>51</v>
      </c>
      <c r="B28" s="41" t="s">
        <v>37</v>
      </c>
      <c r="C28" s="42" t="s">
        <v>38</v>
      </c>
      <c r="D28" s="26" t="s">
        <v>24</v>
      </c>
      <c r="E28" s="27" t="n">
        <v>100000</v>
      </c>
      <c r="F28" s="28" t="n">
        <v>154</v>
      </c>
      <c r="G28" s="29" t="n">
        <f aca="false">E28/F28</f>
        <v>649.350649350649</v>
      </c>
      <c r="H28" s="30" t="n">
        <f aca="false">G28*J28</f>
        <v>37467.5324675325</v>
      </c>
      <c r="I28" s="29" t="n">
        <f aca="false">ROUNDDOWN(H28,-1)</f>
        <v>37460</v>
      </c>
      <c r="J28" s="31" t="n">
        <v>57.7</v>
      </c>
      <c r="K28" s="32" t="n">
        <f aca="false">F28-J28</f>
        <v>96.3</v>
      </c>
      <c r="L28" s="33" t="n">
        <f aca="false">H28-E28</f>
        <v>-62532.4675324675</v>
      </c>
      <c r="M28" s="44" t="n">
        <v>6800</v>
      </c>
      <c r="N28" s="34"/>
      <c r="O28" s="30" t="n">
        <f aca="false">H28+M28+N28</f>
        <v>44267.5324675325</v>
      </c>
      <c r="P28" s="35" t="n">
        <v>44267</v>
      </c>
      <c r="Q28" s="36"/>
      <c r="R28" s="36"/>
    </row>
    <row r="29" customFormat="false" ht="10.5" hidden="false" customHeight="true" outlineLevel="0" collapsed="false">
      <c r="A29" s="40" t="s">
        <v>52</v>
      </c>
      <c r="B29" s="41" t="s">
        <v>37</v>
      </c>
      <c r="C29" s="42" t="s">
        <v>38</v>
      </c>
      <c r="D29" s="26" t="s">
        <v>24</v>
      </c>
      <c r="E29" s="27" t="n">
        <v>100000</v>
      </c>
      <c r="F29" s="28" t="n">
        <v>154</v>
      </c>
      <c r="G29" s="29" t="n">
        <f aca="false">E29/F29</f>
        <v>649.350649350649</v>
      </c>
      <c r="H29" s="30" t="n">
        <f aca="false">G29*J29</f>
        <v>97168.8311688312</v>
      </c>
      <c r="I29" s="29" t="n">
        <f aca="false">ROUNDDOWN(H29,-1)</f>
        <v>97160</v>
      </c>
      <c r="J29" s="31" t="n">
        <v>149.64</v>
      </c>
      <c r="K29" s="32" t="n">
        <f aca="false">F29-J29</f>
        <v>4.36000000000001</v>
      </c>
      <c r="L29" s="33" t="n">
        <f aca="false">H29-E29</f>
        <v>-2831.16883116883</v>
      </c>
      <c r="M29" s="44" t="n">
        <v>29140</v>
      </c>
      <c r="N29" s="34"/>
      <c r="O29" s="30" t="n">
        <f aca="false">H29+M29+N29</f>
        <v>126308.831168831</v>
      </c>
      <c r="P29" s="35" t="n">
        <v>126308</v>
      </c>
      <c r="Q29" s="36"/>
      <c r="R29" s="36"/>
    </row>
    <row r="30" customFormat="false" ht="10.5" hidden="false" customHeight="true" outlineLevel="0" collapsed="false">
      <c r="A30" s="40" t="s">
        <v>53</v>
      </c>
      <c r="B30" s="41" t="s">
        <v>37</v>
      </c>
      <c r="C30" s="42" t="s">
        <v>38</v>
      </c>
      <c r="D30" s="26" t="s">
        <v>24</v>
      </c>
      <c r="E30" s="39" t="n">
        <v>120000</v>
      </c>
      <c r="F30" s="28" t="n">
        <v>154</v>
      </c>
      <c r="G30" s="29" t="n">
        <f aca="false">E30/F30</f>
        <v>779.220779220779</v>
      </c>
      <c r="H30" s="30" t="n">
        <f aca="false">G30*J30</f>
        <v>122766.233766234</v>
      </c>
      <c r="I30" s="29" t="n">
        <f aca="false">ROUNDDOWN(H30,-1)</f>
        <v>122760</v>
      </c>
      <c r="J30" s="31" t="n">
        <v>157.55</v>
      </c>
      <c r="K30" s="32" t="n">
        <f aca="false">F30-J30</f>
        <v>-3.55000000000001</v>
      </c>
      <c r="L30" s="33" t="n">
        <f aca="false">H30-E30</f>
        <v>2766.23376623378</v>
      </c>
      <c r="M30" s="44" t="n">
        <v>29700</v>
      </c>
      <c r="N30" s="34"/>
      <c r="O30" s="30" t="n">
        <f aca="false">H30+M30+N30</f>
        <v>152466.233766234</v>
      </c>
      <c r="P30" s="35" t="n">
        <v>152466</v>
      </c>
      <c r="Q30" s="36"/>
      <c r="R30" s="36"/>
    </row>
    <row r="31" customFormat="false" ht="10.5" hidden="false" customHeight="true" outlineLevel="0" collapsed="false">
      <c r="A31" s="40" t="s">
        <v>54</v>
      </c>
      <c r="B31" s="41" t="s">
        <v>37</v>
      </c>
      <c r="C31" s="42" t="s">
        <v>38</v>
      </c>
      <c r="D31" s="26" t="s">
        <v>24</v>
      </c>
      <c r="E31" s="39" t="n">
        <v>120000</v>
      </c>
      <c r="F31" s="28" t="n">
        <v>154</v>
      </c>
      <c r="G31" s="29" t="n">
        <f aca="false">E31/F31</f>
        <v>779.220779220779</v>
      </c>
      <c r="H31" s="30" t="n">
        <f aca="false">G31*J31</f>
        <v>122922.077922078</v>
      </c>
      <c r="I31" s="29" t="n">
        <f aca="false">ROUNDDOWN(H31,-1)</f>
        <v>122920</v>
      </c>
      <c r="J31" s="31" t="n">
        <v>157.75</v>
      </c>
      <c r="K31" s="32" t="n">
        <f aca="false">F31-J31</f>
        <v>-3.75</v>
      </c>
      <c r="L31" s="33" t="n">
        <f aca="false">H31-E31</f>
        <v>2922.07792207792</v>
      </c>
      <c r="M31" s="44" t="n">
        <v>50100</v>
      </c>
      <c r="N31" s="34"/>
      <c r="O31" s="30" t="n">
        <f aca="false">H31+M31+N31</f>
        <v>173022.077922078</v>
      </c>
      <c r="P31" s="35" t="n">
        <v>173022</v>
      </c>
      <c r="Q31" s="36"/>
      <c r="R31" s="36"/>
    </row>
    <row r="32" customFormat="false" ht="10.5" hidden="false" customHeight="true" outlineLevel="0" collapsed="false">
      <c r="A32" s="43" t="s">
        <v>55</v>
      </c>
      <c r="B32" s="41" t="s">
        <v>37</v>
      </c>
      <c r="C32" s="42" t="s">
        <v>38</v>
      </c>
      <c r="D32" s="26" t="s">
        <v>24</v>
      </c>
      <c r="E32" s="27" t="n">
        <v>100000</v>
      </c>
      <c r="F32" s="28" t="n">
        <v>154</v>
      </c>
      <c r="G32" s="29" t="n">
        <f aca="false">E32/F32</f>
        <v>649.350649350649</v>
      </c>
      <c r="H32" s="30" t="n">
        <f aca="false">G32*J32</f>
        <v>97240.2597402598</v>
      </c>
      <c r="I32" s="29" t="n">
        <f aca="false">ROUNDDOWN(H32,-1)</f>
        <v>97240</v>
      </c>
      <c r="J32" s="31" t="n">
        <v>149.75</v>
      </c>
      <c r="K32" s="32" t="n">
        <f aca="false">F32-J32</f>
        <v>4.25</v>
      </c>
      <c r="L32" s="33" t="n">
        <f aca="false">H32-E32</f>
        <v>-2759.74025974025</v>
      </c>
      <c r="M32" s="44" t="n">
        <v>26080</v>
      </c>
      <c r="N32" s="34"/>
      <c r="O32" s="30" t="n">
        <f aca="false">H32+M32+N32</f>
        <v>123320.25974026</v>
      </c>
      <c r="P32" s="35" t="n">
        <v>123320</v>
      </c>
      <c r="Q32" s="36"/>
      <c r="R32" s="36"/>
    </row>
    <row r="33" customFormat="false" ht="10.5" hidden="false" customHeight="true" outlineLevel="0" collapsed="false">
      <c r="A33" s="43" t="s">
        <v>56</v>
      </c>
      <c r="B33" s="41" t="s">
        <v>37</v>
      </c>
      <c r="C33" s="42" t="s">
        <v>38</v>
      </c>
      <c r="D33" s="26" t="s">
        <v>24</v>
      </c>
      <c r="E33" s="27" t="n">
        <v>100000</v>
      </c>
      <c r="F33" s="28" t="n">
        <v>154</v>
      </c>
      <c r="G33" s="29" t="n">
        <f aca="false">E33/F33</f>
        <v>649.350649350649</v>
      </c>
      <c r="H33" s="30" t="n">
        <f aca="false">G33*J33</f>
        <v>89025.974025974</v>
      </c>
      <c r="I33" s="29" t="n">
        <f aca="false">ROUNDDOWN(H33,-1)</f>
        <v>89020</v>
      </c>
      <c r="J33" s="31" t="n">
        <v>137.1</v>
      </c>
      <c r="K33" s="32" t="n">
        <f aca="false">F33-J33</f>
        <v>16.9</v>
      </c>
      <c r="L33" s="33" t="n">
        <f aca="false">H33-E33</f>
        <v>-10974.025974026</v>
      </c>
      <c r="M33" s="44" t="n">
        <v>16800</v>
      </c>
      <c r="N33" s="34"/>
      <c r="O33" s="30" t="n">
        <f aca="false">H33+M33+N33</f>
        <v>105825.974025974</v>
      </c>
      <c r="P33" s="35" t="n">
        <v>105825</v>
      </c>
      <c r="Q33" s="36"/>
      <c r="R33" s="36"/>
    </row>
    <row r="34" customFormat="false" ht="10.5" hidden="false" customHeight="true" outlineLevel="0" collapsed="false">
      <c r="A34" s="40" t="s">
        <v>57</v>
      </c>
      <c r="B34" s="41" t="s">
        <v>37</v>
      </c>
      <c r="C34" s="42" t="s">
        <v>38</v>
      </c>
      <c r="D34" s="26" t="s">
        <v>24</v>
      </c>
      <c r="E34" s="27" t="n">
        <v>100000</v>
      </c>
      <c r="F34" s="28" t="n">
        <v>154</v>
      </c>
      <c r="G34" s="29" t="n">
        <f aca="false">E34/F34</f>
        <v>649.350649350649</v>
      </c>
      <c r="H34" s="30" t="n">
        <f aca="false">G34*J34</f>
        <v>102370.12987013</v>
      </c>
      <c r="I34" s="29" t="n">
        <f aca="false">ROUNDDOWN(H34,-1)</f>
        <v>102370</v>
      </c>
      <c r="J34" s="31" t="n">
        <v>157.65</v>
      </c>
      <c r="K34" s="32" t="n">
        <f aca="false">F34-J34</f>
        <v>-3.65000000000001</v>
      </c>
      <c r="L34" s="33" t="n">
        <f aca="false">H34-E34</f>
        <v>2370.12987012988</v>
      </c>
      <c r="M34" s="44" t="n">
        <v>18400</v>
      </c>
      <c r="N34" s="34" t="n">
        <v>25000</v>
      </c>
      <c r="O34" s="30" t="n">
        <f aca="false">H34+M34+N34</f>
        <v>145770.12987013</v>
      </c>
      <c r="P34" s="35" t="n">
        <v>145770</v>
      </c>
      <c r="Q34" s="36"/>
      <c r="R34" s="36"/>
    </row>
    <row r="35" customFormat="false" ht="10.5" hidden="false" customHeight="true" outlineLevel="0" collapsed="false">
      <c r="A35" s="40" t="s">
        <v>58</v>
      </c>
      <c r="B35" s="41" t="s">
        <v>37</v>
      </c>
      <c r="C35" s="42" t="s">
        <v>38</v>
      </c>
      <c r="D35" s="26" t="s">
        <v>24</v>
      </c>
      <c r="E35" s="39" t="n">
        <v>120000</v>
      </c>
      <c r="F35" s="28" t="n">
        <v>154</v>
      </c>
      <c r="G35" s="29" t="n">
        <f aca="false">E35/F35</f>
        <v>779.220779220779</v>
      </c>
      <c r="H35" s="30" t="n">
        <f aca="false">G35*J35</f>
        <v>122727.272727273</v>
      </c>
      <c r="I35" s="29" t="n">
        <f aca="false">ROUNDDOWN(H35,-1)</f>
        <v>122720</v>
      </c>
      <c r="J35" s="31" t="n">
        <v>157.5</v>
      </c>
      <c r="K35" s="32" t="n">
        <f aca="false">F35-J35</f>
        <v>-3.5</v>
      </c>
      <c r="L35" s="33" t="n">
        <f aca="false">H35-E35</f>
        <v>2727.27272727274</v>
      </c>
      <c r="M35" s="44" t="n">
        <v>49100</v>
      </c>
      <c r="N35" s="34"/>
      <c r="O35" s="30" t="n">
        <f aca="false">H35+M35+N35</f>
        <v>171827.272727273</v>
      </c>
      <c r="P35" s="35" t="n">
        <v>171827</v>
      </c>
      <c r="Q35" s="36"/>
      <c r="R35" s="36"/>
    </row>
    <row r="36" customFormat="false" ht="10.5" hidden="false" customHeight="true" outlineLevel="0" collapsed="false">
      <c r="A36" s="40" t="s">
        <v>59</v>
      </c>
      <c r="B36" s="41" t="s">
        <v>37</v>
      </c>
      <c r="C36" s="42" t="s">
        <v>38</v>
      </c>
      <c r="D36" s="26" t="s">
        <v>24</v>
      </c>
      <c r="E36" s="39" t="n">
        <v>120000</v>
      </c>
      <c r="F36" s="28" t="n">
        <v>154</v>
      </c>
      <c r="G36" s="29" t="n">
        <f aca="false">E36/F36</f>
        <v>779.220779220779</v>
      </c>
      <c r="H36" s="30" t="n">
        <f aca="false">G36*J36</f>
        <v>76363.6363636364</v>
      </c>
      <c r="I36" s="29" t="n">
        <f aca="false">ROUNDDOWN(H36,-1)</f>
        <v>76360</v>
      </c>
      <c r="J36" s="31" t="n">
        <v>98</v>
      </c>
      <c r="K36" s="32" t="n">
        <f aca="false">F36-J36</f>
        <v>56</v>
      </c>
      <c r="L36" s="33" t="n">
        <f aca="false">H36-E36</f>
        <v>-43636.3636363636</v>
      </c>
      <c r="M36" s="44" t="n">
        <v>9300</v>
      </c>
      <c r="N36" s="34"/>
      <c r="O36" s="30" t="n">
        <f aca="false">H36+M36+N36</f>
        <v>85663.6363636364</v>
      </c>
      <c r="P36" s="35" t="n">
        <v>85663</v>
      </c>
      <c r="Q36" s="36"/>
      <c r="R36" s="36"/>
    </row>
    <row r="37" customFormat="false" ht="10.5" hidden="false" customHeight="true" outlineLevel="0" collapsed="false">
      <c r="A37" s="40" t="s">
        <v>60</v>
      </c>
      <c r="B37" s="41" t="s">
        <v>37</v>
      </c>
      <c r="C37" s="42" t="s">
        <v>38</v>
      </c>
      <c r="D37" s="26" t="s">
        <v>24</v>
      </c>
      <c r="E37" s="39" t="n">
        <v>120000</v>
      </c>
      <c r="F37" s="28" t="n">
        <v>154</v>
      </c>
      <c r="G37" s="29" t="n">
        <f aca="false">E37/F37</f>
        <v>779.220779220779</v>
      </c>
      <c r="H37" s="30" t="n">
        <f aca="false">G37*J37</f>
        <v>122735.064935065</v>
      </c>
      <c r="I37" s="29" t="n">
        <f aca="false">ROUNDDOWN(H37,-1)</f>
        <v>122730</v>
      </c>
      <c r="J37" s="31" t="n">
        <v>157.51</v>
      </c>
      <c r="K37" s="32" t="n">
        <f aca="false">F37-J37</f>
        <v>-3.50999999999999</v>
      </c>
      <c r="L37" s="33" t="n">
        <f aca="false">H37-E37</f>
        <v>2735.06493506493</v>
      </c>
      <c r="M37" s="44" t="n">
        <v>34440</v>
      </c>
      <c r="N37" s="34"/>
      <c r="O37" s="30" t="n">
        <f aca="false">H37+M37+N37</f>
        <v>157175.064935065</v>
      </c>
      <c r="P37" s="30" t="n">
        <v>157175</v>
      </c>
      <c r="Q37" s="36"/>
      <c r="R37" s="36"/>
    </row>
    <row r="38" customFormat="false" ht="10.5" hidden="false" customHeight="true" outlineLevel="0" collapsed="false">
      <c r="A38" s="43" t="s">
        <v>61</v>
      </c>
      <c r="B38" s="41" t="s">
        <v>37</v>
      </c>
      <c r="C38" s="42" t="s">
        <v>38</v>
      </c>
      <c r="D38" s="26" t="s">
        <v>24</v>
      </c>
      <c r="E38" s="39" t="n">
        <v>120000</v>
      </c>
      <c r="F38" s="28" t="n">
        <v>154</v>
      </c>
      <c r="G38" s="29" t="n">
        <f aca="false">E38/F38</f>
        <v>779.220779220779</v>
      </c>
      <c r="H38" s="30" t="n">
        <f aca="false">G38*J38</f>
        <v>122711.688311688</v>
      </c>
      <c r="I38" s="29" t="n">
        <f aca="false">ROUNDDOWN(H38,-1)</f>
        <v>122710</v>
      </c>
      <c r="J38" s="31" t="n">
        <v>157.48</v>
      </c>
      <c r="K38" s="32" t="n">
        <f aca="false">F38-J38</f>
        <v>-3.47999999999999</v>
      </c>
      <c r="L38" s="33" t="n">
        <f aca="false">H38-E38</f>
        <v>2711.68831168831</v>
      </c>
      <c r="M38" s="44" t="n">
        <v>20700</v>
      </c>
      <c r="N38" s="34"/>
      <c r="O38" s="30" t="n">
        <f aca="false">H38+M38+N38</f>
        <v>143411.688311688</v>
      </c>
      <c r="P38" s="35" t="n">
        <v>143411</v>
      </c>
      <c r="Q38" s="36"/>
      <c r="R38" s="36"/>
    </row>
    <row r="39" customFormat="false" ht="10.5" hidden="false" customHeight="true" outlineLevel="0" collapsed="false">
      <c r="A39" s="43" t="s">
        <v>62</v>
      </c>
      <c r="B39" s="41" t="s">
        <v>37</v>
      </c>
      <c r="C39" s="42" t="s">
        <v>38</v>
      </c>
      <c r="D39" s="26" t="s">
        <v>24</v>
      </c>
      <c r="E39" s="27" t="n">
        <v>100000</v>
      </c>
      <c r="F39" s="28" t="n">
        <v>154</v>
      </c>
      <c r="G39" s="29" t="n">
        <f aca="false">E39/F39</f>
        <v>649.350649350649</v>
      </c>
      <c r="H39" s="30" t="n">
        <f aca="false">G39*J39</f>
        <v>91240.2597402598</v>
      </c>
      <c r="I39" s="29" t="n">
        <f aca="false">ROUNDDOWN(H39,-1)</f>
        <v>91240</v>
      </c>
      <c r="J39" s="31" t="n">
        <v>140.51</v>
      </c>
      <c r="K39" s="32" t="n">
        <f aca="false">F39-J39</f>
        <v>13.49</v>
      </c>
      <c r="L39" s="33" t="n">
        <f aca="false">H39-E39</f>
        <v>-8759.74025974025</v>
      </c>
      <c r="M39" s="44" t="n">
        <v>7200</v>
      </c>
      <c r="N39" s="34"/>
      <c r="O39" s="30" t="n">
        <f aca="false">H39+M39+N39</f>
        <v>98440.2597402598</v>
      </c>
      <c r="P39" s="35" t="n">
        <v>98440</v>
      </c>
      <c r="Q39" s="36"/>
      <c r="R39" s="36"/>
    </row>
    <row r="40" customFormat="false" ht="10.5" hidden="false" customHeight="true" outlineLevel="0" collapsed="false">
      <c r="A40" s="40" t="s">
        <v>63</v>
      </c>
      <c r="B40" s="41" t="s">
        <v>37</v>
      </c>
      <c r="C40" s="42" t="s">
        <v>38</v>
      </c>
      <c r="D40" s="26" t="s">
        <v>24</v>
      </c>
      <c r="E40" s="27" t="n">
        <v>100000</v>
      </c>
      <c r="F40" s="28" t="n">
        <v>154</v>
      </c>
      <c r="G40" s="29" t="n">
        <f aca="false">E40/F40</f>
        <v>649.350649350649</v>
      </c>
      <c r="H40" s="30" t="n">
        <f aca="false">G40*J40</f>
        <v>102272.727272727</v>
      </c>
      <c r="I40" s="29" t="n">
        <f aca="false">ROUNDDOWN(H40,-1)</f>
        <v>102270</v>
      </c>
      <c r="J40" s="31" t="n">
        <v>157.5</v>
      </c>
      <c r="K40" s="32" t="n">
        <f aca="false">F40-J40</f>
        <v>-3.5</v>
      </c>
      <c r="L40" s="33" t="n">
        <f aca="false">H40-E40</f>
        <v>2272.72727272728</v>
      </c>
      <c r="M40" s="44" t="n">
        <v>17900</v>
      </c>
      <c r="N40" s="34"/>
      <c r="O40" s="30" t="n">
        <f aca="false">H40+M40+N40</f>
        <v>120172.727272727</v>
      </c>
      <c r="P40" s="35" t="n">
        <v>120172</v>
      </c>
      <c r="Q40" s="36"/>
      <c r="R40" s="36"/>
    </row>
    <row r="41" customFormat="false" ht="10.5" hidden="false" customHeight="true" outlineLevel="0" collapsed="false">
      <c r="A41" s="40" t="s">
        <v>64</v>
      </c>
      <c r="B41" s="41" t="s">
        <v>37</v>
      </c>
      <c r="C41" s="42" t="s">
        <v>38</v>
      </c>
      <c r="D41" s="26" t="s">
        <v>24</v>
      </c>
      <c r="E41" s="39" t="n">
        <v>120000</v>
      </c>
      <c r="F41" s="28" t="n">
        <v>154</v>
      </c>
      <c r="G41" s="29" t="n">
        <f aca="false">E41/F41</f>
        <v>779.220779220779</v>
      </c>
      <c r="H41" s="30" t="n">
        <f aca="false">G41*J41</f>
        <v>100324.675324675</v>
      </c>
      <c r="I41" s="29" t="n">
        <f aca="false">ROUNDDOWN(H41,-1)</f>
        <v>100320</v>
      </c>
      <c r="J41" s="31" t="n">
        <v>128.75</v>
      </c>
      <c r="K41" s="32" t="n">
        <f aca="false">F41-J41</f>
        <v>25.25</v>
      </c>
      <c r="L41" s="33" t="n">
        <f aca="false">H41-E41</f>
        <v>-19675.3246753247</v>
      </c>
      <c r="M41" s="44" t="n">
        <v>21420</v>
      </c>
      <c r="N41" s="34"/>
      <c r="O41" s="30" t="n">
        <f aca="false">H41+M41+N41</f>
        <v>121744.675324675</v>
      </c>
      <c r="P41" s="35" t="n">
        <v>121744</v>
      </c>
      <c r="Q41" s="36"/>
      <c r="R41" s="36"/>
    </row>
    <row r="42" customFormat="false" ht="10.5" hidden="false" customHeight="true" outlineLevel="0" collapsed="false">
      <c r="A42" s="40" t="s">
        <v>65</v>
      </c>
      <c r="B42" s="41" t="s">
        <v>37</v>
      </c>
      <c r="C42" s="42" t="s">
        <v>38</v>
      </c>
      <c r="D42" s="26" t="s">
        <v>24</v>
      </c>
      <c r="E42" s="39" t="n">
        <v>120000</v>
      </c>
      <c r="F42" s="28" t="n">
        <v>154</v>
      </c>
      <c r="G42" s="29" t="n">
        <f aca="false">E42/F42</f>
        <v>779.220779220779</v>
      </c>
      <c r="H42" s="30" t="n">
        <f aca="false">G42*J42</f>
        <v>0</v>
      </c>
      <c r="I42" s="29" t="n">
        <f aca="false">ROUNDDOWN(H42,-1)</f>
        <v>0</v>
      </c>
      <c r="J42" s="31"/>
      <c r="K42" s="32" t="n">
        <f aca="false">F42-J42</f>
        <v>154</v>
      </c>
      <c r="L42" s="33" t="n">
        <f aca="false">H42-E42</f>
        <v>-120000</v>
      </c>
      <c r="M42" s="44" t="n">
        <v>12300</v>
      </c>
      <c r="N42" s="34"/>
      <c r="O42" s="30" t="n">
        <f aca="false">H42+M42+N42</f>
        <v>12300</v>
      </c>
      <c r="P42" s="35" t="n">
        <v>12300</v>
      </c>
      <c r="Q42" s="36"/>
      <c r="R42" s="36"/>
    </row>
    <row r="43" customFormat="false" ht="10.5" hidden="false" customHeight="true" outlineLevel="0" collapsed="false">
      <c r="A43" s="40" t="s">
        <v>66</v>
      </c>
      <c r="B43" s="41" t="s">
        <v>37</v>
      </c>
      <c r="C43" s="42" t="s">
        <v>38</v>
      </c>
      <c r="D43" s="26" t="s">
        <v>24</v>
      </c>
      <c r="E43" s="39" t="n">
        <v>120000</v>
      </c>
      <c r="F43" s="28" t="n">
        <v>154</v>
      </c>
      <c r="G43" s="29" t="n">
        <f aca="false">E43/F43</f>
        <v>779.220779220779</v>
      </c>
      <c r="H43" s="30" t="n">
        <f aca="false">G43*J43</f>
        <v>119025.974025974</v>
      </c>
      <c r="I43" s="29" t="n">
        <f aca="false">ROUNDDOWN(H43,-1)</f>
        <v>119020</v>
      </c>
      <c r="J43" s="31" t="n">
        <v>152.75</v>
      </c>
      <c r="K43" s="32" t="n">
        <f aca="false">F43-J43</f>
        <v>1.25</v>
      </c>
      <c r="L43" s="33" t="n">
        <f aca="false">H43-E43</f>
        <v>-974.025974025964</v>
      </c>
      <c r="M43" s="44" t="n">
        <v>18380</v>
      </c>
      <c r="N43" s="34"/>
      <c r="O43" s="30" t="n">
        <f aca="false">H43+M43+N43</f>
        <v>137405.974025974</v>
      </c>
      <c r="P43" s="35" t="n">
        <v>137405</v>
      </c>
      <c r="Q43" s="36"/>
      <c r="R43" s="36"/>
    </row>
    <row r="44" customFormat="false" ht="10.5" hidden="false" customHeight="true" outlineLevel="0" collapsed="false">
      <c r="A44" s="40" t="s">
        <v>67</v>
      </c>
      <c r="B44" s="41" t="s">
        <v>37</v>
      </c>
      <c r="C44" s="42" t="s">
        <v>38</v>
      </c>
      <c r="D44" s="26" t="s">
        <v>24</v>
      </c>
      <c r="E44" s="27" t="n">
        <v>100000</v>
      </c>
      <c r="F44" s="28" t="n">
        <v>154</v>
      </c>
      <c r="G44" s="29" t="n">
        <f aca="false">E44/F44</f>
        <v>649.350649350649</v>
      </c>
      <c r="H44" s="30" t="n">
        <f aca="false">G44*J44</f>
        <v>95642.8571428571</v>
      </c>
      <c r="I44" s="29" t="n">
        <f aca="false">ROUNDDOWN(H44,-1)</f>
        <v>95640</v>
      </c>
      <c r="J44" s="31" t="n">
        <v>147.29</v>
      </c>
      <c r="K44" s="32" t="n">
        <f aca="false">F44-J44</f>
        <v>6.71000000000001</v>
      </c>
      <c r="L44" s="33" t="n">
        <f aca="false">H44-E44</f>
        <v>-4357.14285714286</v>
      </c>
      <c r="M44" s="44" t="n">
        <v>11300</v>
      </c>
      <c r="N44" s="34"/>
      <c r="O44" s="30" t="n">
        <f aca="false">H44+M44+N44</f>
        <v>106942.857142857</v>
      </c>
      <c r="P44" s="35" t="n">
        <v>106942</v>
      </c>
      <c r="Q44" s="36"/>
      <c r="R44" s="36"/>
    </row>
    <row r="45" customFormat="false" ht="13.5" hidden="false" customHeight="true" outlineLevel="0" collapsed="false">
      <c r="A45" s="45" t="s">
        <v>68</v>
      </c>
      <c r="B45" s="41" t="s">
        <v>37</v>
      </c>
      <c r="C45" s="42" t="s">
        <v>38</v>
      </c>
      <c r="D45" s="26" t="s">
        <v>24</v>
      </c>
      <c r="E45" s="46" t="n">
        <v>120000</v>
      </c>
      <c r="F45" s="28" t="n">
        <v>154</v>
      </c>
      <c r="G45" s="29" t="n">
        <f aca="false">E45/F45</f>
        <v>779.220779220779</v>
      </c>
      <c r="H45" s="30" t="n">
        <f aca="false">G45*J45</f>
        <v>116103.896103896</v>
      </c>
      <c r="I45" s="29" t="n">
        <f aca="false">ROUNDDOWN(H45,-1)</f>
        <v>116100</v>
      </c>
      <c r="J45" s="31" t="n">
        <v>149</v>
      </c>
      <c r="K45" s="32" t="n">
        <f aca="false">F45-J45</f>
        <v>5</v>
      </c>
      <c r="L45" s="33" t="n">
        <f aca="false">H45-E45</f>
        <v>-3896.10389610389</v>
      </c>
      <c r="M45" s="47" t="n">
        <v>36700</v>
      </c>
      <c r="N45" s="34"/>
      <c r="O45" s="30" t="n">
        <f aca="false">H45+M45+N45</f>
        <v>152803.896103896</v>
      </c>
      <c r="P45" s="35" t="n">
        <v>152803</v>
      </c>
      <c r="Q45" s="36"/>
      <c r="R45" s="36"/>
    </row>
    <row r="46" customFormat="false" ht="9.75" hidden="false" customHeight="true" outlineLevel="0" collapsed="false">
      <c r="I46" s="48" t="s">
        <v>10</v>
      </c>
      <c r="L46" s="6" t="n">
        <f aca="false">SUM(L8:L45)</f>
        <v>-413502.922077922</v>
      </c>
      <c r="M46" s="6" t="n">
        <f aca="false">SUM(M8:M45)</f>
        <v>785950.304</v>
      </c>
      <c r="N46" s="6" t="n">
        <f aca="false">SUM(N8:N45)</f>
        <v>100000</v>
      </c>
      <c r="O46" s="49" t="n">
        <f aca="false">SUM(O8:O45)</f>
        <v>4732447.38192208</v>
      </c>
      <c r="P46" s="49"/>
    </row>
    <row r="47" customFormat="false" ht="9.75" hidden="false" customHeight="true" outlineLevel="0" collapsed="false">
      <c r="I47" s="49" t="n">
        <f aca="false">SUM(I8:I45)</f>
        <v>3846380</v>
      </c>
      <c r="N47" s="1" t="s">
        <v>69</v>
      </c>
      <c r="O47" s="49" t="n">
        <f aca="false">ROUNDDOWN(O46,-1)</f>
        <v>4732440</v>
      </c>
    </row>
  </sheetData>
  <autoFilter ref="A7:O32">
    <sortState ref="A8:O32">
      <sortCondition ref="A8:A32" customList=""/>
    </sortState>
  </autoFilter>
  <mergeCells count="1">
    <mergeCell ref="G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3:G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5" activeCellId="0" sqref="F15"/>
    </sheetView>
  </sheetViews>
  <sheetFormatPr defaultColWidth="10.6796875" defaultRowHeight="14.25" zeroHeight="false" outlineLevelRow="0" outlineLevelCol="0"/>
  <cols>
    <col collapsed="false" customWidth="true" hidden="false" outlineLevel="0" max="2" min="2" style="50" width="24.33"/>
    <col collapsed="false" customWidth="true" hidden="false" outlineLevel="0" max="3" min="3" style="50" width="28.22"/>
    <col collapsed="false" customWidth="true" hidden="false" outlineLevel="0" max="5" min="5" style="50" width="16.89"/>
    <col collapsed="false" customWidth="true" hidden="false" outlineLevel="0" max="6" min="6" style="51" width="11.56"/>
  </cols>
  <sheetData>
    <row r="3" customFormat="false" ht="14.25" hidden="false" customHeight="true" outlineLevel="0" collapsed="false">
      <c r="B3" s="52" t="s">
        <v>70</v>
      </c>
      <c r="C3" s="52"/>
      <c r="E3" s="52" t="s">
        <v>71</v>
      </c>
      <c r="F3" s="52"/>
    </row>
    <row r="5" customFormat="false" ht="14.25" hidden="false" customHeight="true" outlineLevel="0" collapsed="false">
      <c r="B5" s="53" t="s">
        <v>72</v>
      </c>
      <c r="C5" s="54" t="s">
        <v>22</v>
      </c>
      <c r="E5" s="55" t="s">
        <v>73</v>
      </c>
      <c r="F5" s="56" t="n">
        <v>215634</v>
      </c>
    </row>
    <row r="6" customFormat="false" ht="14.25" hidden="false" customHeight="true" outlineLevel="0" collapsed="false">
      <c r="B6" s="53"/>
      <c r="C6" s="57" t="n">
        <v>0.8875</v>
      </c>
      <c r="E6" s="55" t="s">
        <v>74</v>
      </c>
      <c r="F6" s="56" t="n">
        <v>0</v>
      </c>
    </row>
    <row r="7" customFormat="false" ht="14.25" hidden="false" customHeight="true" outlineLevel="0" collapsed="false">
      <c r="B7" s="58" t="s">
        <v>75</v>
      </c>
      <c r="C7" s="59" t="n">
        <f aca="false">IF(C6&gt;=85%,25000,0)</f>
        <v>25000</v>
      </c>
      <c r="E7" s="55" t="s">
        <v>76</v>
      </c>
      <c r="F7" s="56" t="n">
        <v>122028</v>
      </c>
    </row>
    <row r="8" customFormat="false" ht="14.25" hidden="false" customHeight="true" outlineLevel="0" collapsed="false">
      <c r="B8" s="50" t="s">
        <v>77</v>
      </c>
      <c r="C8" s="60" t="n">
        <v>20151.0912</v>
      </c>
    </row>
    <row r="10" customFormat="false" ht="14.25" hidden="false" customHeight="true" outlineLevel="0" collapsed="false">
      <c r="B10" s="58" t="s">
        <v>78</v>
      </c>
      <c r="C10" s="56" t="n">
        <f aca="false">SUM(C7:C8)</f>
        <v>45151.0912</v>
      </c>
      <c r="E10" s="58" t="s">
        <v>78</v>
      </c>
      <c r="F10" s="56" t="n">
        <f aca="false">SUM(F5:F9)</f>
        <v>337662</v>
      </c>
    </row>
    <row r="11" customFormat="false" ht="14.25" hidden="false" customHeight="true" outlineLevel="0" collapsed="false">
      <c r="C11" s="61" t="n">
        <v>45151</v>
      </c>
      <c r="F11" s="61" t="n">
        <v>337662</v>
      </c>
    </row>
    <row r="14" customFormat="false" ht="14.25" hidden="false" customHeight="true" outlineLevel="0" collapsed="false">
      <c r="G14" s="51"/>
    </row>
  </sheetData>
  <mergeCells count="3">
    <mergeCell ref="B3:C3"/>
    <mergeCell ref="E3:F3"/>
    <mergeCell ref="B5:B6"/>
  </mergeCells>
  <conditionalFormatting sqref="C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2023-12-19T13:03:48Z</dcterms:created>
  <dc:creator>C2S</dc:creator>
  <dc:description/>
  <dc:language>en-US</dc:language>
  <cp:lastModifiedBy>LENOVO</cp:lastModifiedBy>
  <dcterms:modified xsi:type="dcterms:W3CDTF">2026-08-19T11:06:54Z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