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/>
  <mc:AlternateContent xmlns:mc="http://schemas.openxmlformats.org/markup-compatibility/2006">
    <mc:Choice Requires="x15">
      <x15ac:absPath xmlns:x15ac="http://schemas.microsoft.com/office/spreadsheetml/2010/11/ac" url="C:\Users\LENOVO\Downloads\files (6)\"/>
    </mc:Choice>
  </mc:AlternateContent>
  <xr:revisionPtr revIDLastSave="0" documentId="13_ncr:1_{F7FC1218-371B-4DC7-93C9-C3F25D8B3979}" xr6:coauthVersionLast="43" xr6:coauthVersionMax="43" xr10:uidLastSave="{00000000-0000-0000-0000-000000000000}"/>
  <bookViews>
    <workbookView xWindow="-108" yWindow="-108" windowWidth="23256" windowHeight="12456" tabRatio="500" activeTab="4" xr2:uid="{00000000-000D-0000-FFFF-FFFF00000000}"/>
  </bookViews>
  <sheets>
    <sheet name="Avril 2026" sheetId="6" r:id="rId1"/>
    <sheet name="Mai 2026" sheetId="5" r:id="rId2"/>
    <sheet name="Juin 2026" sheetId="4" r:id="rId3"/>
    <sheet name="Juillet 2026" sheetId="3" r:id="rId4"/>
    <sheet name="Août 2026" sheetId="1" r:id="rId5"/>
    <sheet name="Prime Manager" sheetId="2" r:id="rId6"/>
  </sheets>
  <definedNames>
    <definedName name="_xlnm._FilterDatabase" localSheetId="4" hidden="1">'Août 2026'!$A$7:$O$32</definedName>
    <definedName name="_xlnm._FilterDatabase" localSheetId="3" hidden="1">'Juillet 2026'!$A$7:$O$32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33" i="6" l="1"/>
  <c r="K32" i="6"/>
  <c r="G32" i="6"/>
  <c r="H32" i="6" s="1"/>
  <c r="K31" i="6"/>
  <c r="G31" i="6"/>
  <c r="H31" i="6" s="1"/>
  <c r="K30" i="6"/>
  <c r="G30" i="6"/>
  <c r="H30" i="6" s="1"/>
  <c r="L29" i="6"/>
  <c r="K29" i="6"/>
  <c r="G29" i="6"/>
  <c r="H29" i="6" s="1"/>
  <c r="K28" i="6"/>
  <c r="G28" i="6"/>
  <c r="H28" i="6" s="1"/>
  <c r="K27" i="6"/>
  <c r="G27" i="6"/>
  <c r="H27" i="6" s="1"/>
  <c r="K26" i="6"/>
  <c r="G26" i="6"/>
  <c r="H26" i="6" s="1"/>
  <c r="K25" i="6"/>
  <c r="G25" i="6"/>
  <c r="H25" i="6" s="1"/>
  <c r="L25" i="6" s="1"/>
  <c r="K24" i="6"/>
  <c r="G24" i="6"/>
  <c r="H24" i="6" s="1"/>
  <c r="K23" i="6"/>
  <c r="G23" i="6"/>
  <c r="H23" i="6" s="1"/>
  <c r="K22" i="6"/>
  <c r="G22" i="6"/>
  <c r="H22" i="6" s="1"/>
  <c r="K21" i="6"/>
  <c r="G21" i="6"/>
  <c r="H21" i="6" s="1"/>
  <c r="I21" i="6" s="1"/>
  <c r="K20" i="6"/>
  <c r="G20" i="6"/>
  <c r="H20" i="6" s="1"/>
  <c r="K19" i="6"/>
  <c r="G19" i="6"/>
  <c r="H19" i="6" s="1"/>
  <c r="K18" i="6"/>
  <c r="G18" i="6"/>
  <c r="H18" i="6" s="1"/>
  <c r="K17" i="6"/>
  <c r="G17" i="6"/>
  <c r="H17" i="6" s="1"/>
  <c r="I17" i="6" s="1"/>
  <c r="K16" i="6"/>
  <c r="G16" i="6"/>
  <c r="H16" i="6" s="1"/>
  <c r="K15" i="6"/>
  <c r="G15" i="6"/>
  <c r="H15" i="6" s="1"/>
  <c r="K14" i="6"/>
  <c r="G14" i="6"/>
  <c r="H14" i="6" s="1"/>
  <c r="K13" i="6"/>
  <c r="G13" i="6"/>
  <c r="H13" i="6" s="1"/>
  <c r="I13" i="6" s="1"/>
  <c r="K12" i="6"/>
  <c r="G12" i="6"/>
  <c r="H12" i="6" s="1"/>
  <c r="K11" i="6"/>
  <c r="G11" i="6"/>
  <c r="H11" i="6" s="1"/>
  <c r="G10" i="6"/>
  <c r="H10" i="6" s="1"/>
  <c r="K9" i="6"/>
  <c r="G9" i="6"/>
  <c r="H9" i="6" s="1"/>
  <c r="L9" i="6" s="1"/>
  <c r="K8" i="6"/>
  <c r="G8" i="6"/>
  <c r="H8" i="6" s="1"/>
  <c r="K7" i="6"/>
  <c r="G7" i="6"/>
  <c r="H7" i="6" s="1"/>
  <c r="O11" i="6" l="1"/>
  <c r="L11" i="6"/>
  <c r="I11" i="6"/>
  <c r="O19" i="6"/>
  <c r="L19" i="6"/>
  <c r="I19" i="6"/>
  <c r="O15" i="6"/>
  <c r="L15" i="6"/>
  <c r="I15" i="6"/>
  <c r="O23" i="6"/>
  <c r="L23" i="6"/>
  <c r="I23" i="6"/>
  <c r="O8" i="6"/>
  <c r="L8" i="6"/>
  <c r="I8" i="6"/>
  <c r="O7" i="6"/>
  <c r="L7" i="6"/>
  <c r="I7" i="6"/>
  <c r="O10" i="6"/>
  <c r="L10" i="6"/>
  <c r="I10" i="6"/>
  <c r="O16" i="6"/>
  <c r="L16" i="6"/>
  <c r="O24" i="6"/>
  <c r="L24" i="6"/>
  <c r="O27" i="6"/>
  <c r="L27" i="6"/>
  <c r="I27" i="6"/>
  <c r="O30" i="6"/>
  <c r="L30" i="6"/>
  <c r="I30" i="6"/>
  <c r="L13" i="6"/>
  <c r="I16" i="6"/>
  <c r="L21" i="6"/>
  <c r="I24" i="6"/>
  <c r="O13" i="6"/>
  <c r="O21" i="6"/>
  <c r="O28" i="6"/>
  <c r="L28" i="6"/>
  <c r="O31" i="6"/>
  <c r="L31" i="6"/>
  <c r="I31" i="6"/>
  <c r="O14" i="6"/>
  <c r="L14" i="6"/>
  <c r="I14" i="6"/>
  <c r="I28" i="6"/>
  <c r="O12" i="6"/>
  <c r="L12" i="6"/>
  <c r="O20" i="6"/>
  <c r="L20" i="6"/>
  <c r="O32" i="6"/>
  <c r="L32" i="6"/>
  <c r="I12" i="6"/>
  <c r="L17" i="6"/>
  <c r="I20" i="6"/>
  <c r="I29" i="6"/>
  <c r="O29" i="6"/>
  <c r="I32" i="6"/>
  <c r="O18" i="6"/>
  <c r="L18" i="6"/>
  <c r="I18" i="6"/>
  <c r="O22" i="6"/>
  <c r="L22" i="6"/>
  <c r="I22" i="6"/>
  <c r="I25" i="6"/>
  <c r="O25" i="6"/>
  <c r="I9" i="6"/>
  <c r="O17" i="6"/>
  <c r="O26" i="6"/>
  <c r="L26" i="6"/>
  <c r="I26" i="6"/>
  <c r="L33" i="6" l="1"/>
  <c r="O33" i="6"/>
  <c r="I34" i="6"/>
  <c r="M33" i="5" l="1"/>
  <c r="K32" i="5"/>
  <c r="G32" i="5"/>
  <c r="H32" i="5" s="1"/>
  <c r="K31" i="5"/>
  <c r="G31" i="5"/>
  <c r="H31" i="5" s="1"/>
  <c r="K30" i="5"/>
  <c r="G30" i="5"/>
  <c r="H30" i="5" s="1"/>
  <c r="K29" i="5"/>
  <c r="G29" i="5"/>
  <c r="H29" i="5" s="1"/>
  <c r="K28" i="5"/>
  <c r="G28" i="5"/>
  <c r="H28" i="5" s="1"/>
  <c r="K27" i="5"/>
  <c r="G27" i="5"/>
  <c r="H27" i="5" s="1"/>
  <c r="K26" i="5"/>
  <c r="G26" i="5"/>
  <c r="H26" i="5" s="1"/>
  <c r="K25" i="5"/>
  <c r="G25" i="5"/>
  <c r="H25" i="5" s="1"/>
  <c r="K24" i="5"/>
  <c r="G24" i="5"/>
  <c r="H24" i="5" s="1"/>
  <c r="K23" i="5"/>
  <c r="G23" i="5"/>
  <c r="H23" i="5" s="1"/>
  <c r="K22" i="5"/>
  <c r="G22" i="5"/>
  <c r="H22" i="5" s="1"/>
  <c r="K21" i="5"/>
  <c r="G21" i="5"/>
  <c r="H21" i="5" s="1"/>
  <c r="K20" i="5"/>
  <c r="G20" i="5"/>
  <c r="H20" i="5" s="1"/>
  <c r="K19" i="5"/>
  <c r="G19" i="5"/>
  <c r="H19" i="5" s="1"/>
  <c r="K18" i="5"/>
  <c r="G18" i="5"/>
  <c r="H18" i="5" s="1"/>
  <c r="K17" i="5"/>
  <c r="G17" i="5"/>
  <c r="H17" i="5" s="1"/>
  <c r="K16" i="5"/>
  <c r="G16" i="5"/>
  <c r="H16" i="5" s="1"/>
  <c r="K15" i="5"/>
  <c r="G15" i="5"/>
  <c r="H15" i="5" s="1"/>
  <c r="K14" i="5"/>
  <c r="G14" i="5"/>
  <c r="H14" i="5" s="1"/>
  <c r="K13" i="5"/>
  <c r="G13" i="5"/>
  <c r="H13" i="5" s="1"/>
  <c r="K12" i="5"/>
  <c r="G12" i="5"/>
  <c r="H12" i="5" s="1"/>
  <c r="K11" i="5"/>
  <c r="G11" i="5"/>
  <c r="H11" i="5" s="1"/>
  <c r="G10" i="5"/>
  <c r="H10" i="5" s="1"/>
  <c r="K9" i="5"/>
  <c r="G9" i="5"/>
  <c r="H9" i="5" s="1"/>
  <c r="K8" i="5"/>
  <c r="G8" i="5"/>
  <c r="H8" i="5" s="1"/>
  <c r="O8" i="5" s="1"/>
  <c r="K7" i="5"/>
  <c r="G7" i="5"/>
  <c r="H7" i="5" s="1"/>
  <c r="I9" i="5" l="1"/>
  <c r="O9" i="5"/>
  <c r="L9" i="5"/>
  <c r="O22" i="5"/>
  <c r="L22" i="5"/>
  <c r="I22" i="5"/>
  <c r="O15" i="5"/>
  <c r="L15" i="5"/>
  <c r="I15" i="5"/>
  <c r="O18" i="5"/>
  <c r="I18" i="5"/>
  <c r="L18" i="5"/>
  <c r="O30" i="5"/>
  <c r="L30" i="5"/>
  <c r="I30" i="5"/>
  <c r="O7" i="5"/>
  <c r="L7" i="5"/>
  <c r="I7" i="5"/>
  <c r="O19" i="5"/>
  <c r="L19" i="5"/>
  <c r="I19" i="5"/>
  <c r="O27" i="5"/>
  <c r="L27" i="5"/>
  <c r="I27" i="5"/>
  <c r="I16" i="5"/>
  <c r="O16" i="5"/>
  <c r="L16" i="5"/>
  <c r="O14" i="5"/>
  <c r="I14" i="5"/>
  <c r="L14" i="5"/>
  <c r="O26" i="5"/>
  <c r="L26" i="5"/>
  <c r="I26" i="5"/>
  <c r="O10" i="5"/>
  <c r="I10" i="5"/>
  <c r="L10" i="5"/>
  <c r="O11" i="5"/>
  <c r="L11" i="5"/>
  <c r="I11" i="5"/>
  <c r="O23" i="5"/>
  <c r="L23" i="5"/>
  <c r="I23" i="5"/>
  <c r="O31" i="5"/>
  <c r="I31" i="5"/>
  <c r="L31" i="5"/>
  <c r="O12" i="5"/>
  <c r="L12" i="5"/>
  <c r="I12" i="5"/>
  <c r="L20" i="5"/>
  <c r="O20" i="5"/>
  <c r="I20" i="5"/>
  <c r="O24" i="5"/>
  <c r="L24" i="5"/>
  <c r="I24" i="5"/>
  <c r="O28" i="5"/>
  <c r="I28" i="5"/>
  <c r="L28" i="5"/>
  <c r="O32" i="5"/>
  <c r="I32" i="5"/>
  <c r="L32" i="5"/>
  <c r="O13" i="5"/>
  <c r="I13" i="5"/>
  <c r="L13" i="5"/>
  <c r="I17" i="5"/>
  <c r="O17" i="5"/>
  <c r="L17" i="5"/>
  <c r="I21" i="5"/>
  <c r="O21" i="5"/>
  <c r="L21" i="5"/>
  <c r="I25" i="5"/>
  <c r="O25" i="5"/>
  <c r="L25" i="5"/>
  <c r="O29" i="5"/>
  <c r="L29" i="5"/>
  <c r="I29" i="5"/>
  <c r="L8" i="5"/>
  <c r="I8" i="5"/>
  <c r="O33" i="5" l="1"/>
  <c r="I34" i="5"/>
  <c r="L33" i="5"/>
  <c r="G47" i="4" l="1"/>
  <c r="H47" i="4"/>
  <c r="I47" i="4" s="1"/>
  <c r="K47" i="4"/>
  <c r="O47" i="4"/>
  <c r="G28" i="4"/>
  <c r="H28" i="4" s="1"/>
  <c r="K28" i="4"/>
  <c r="N48" i="4"/>
  <c r="M48" i="4"/>
  <c r="K46" i="4"/>
  <c r="I46" i="4"/>
  <c r="H46" i="4"/>
  <c r="G46" i="4"/>
  <c r="K45" i="4"/>
  <c r="G45" i="4"/>
  <c r="H45" i="4" s="1"/>
  <c r="K44" i="4"/>
  <c r="G44" i="4"/>
  <c r="H44" i="4" s="1"/>
  <c r="K43" i="4"/>
  <c r="G43" i="4"/>
  <c r="H43" i="4" s="1"/>
  <c r="I43" i="4" s="1"/>
  <c r="K42" i="4"/>
  <c r="H42" i="4"/>
  <c r="G42" i="4"/>
  <c r="K41" i="4"/>
  <c r="G41" i="4"/>
  <c r="H41" i="4" s="1"/>
  <c r="K40" i="4"/>
  <c r="G40" i="4"/>
  <c r="H40" i="4" s="1"/>
  <c r="O39" i="4"/>
  <c r="L39" i="4"/>
  <c r="K39" i="4"/>
  <c r="G39" i="4"/>
  <c r="H39" i="4" s="1"/>
  <c r="I39" i="4" s="1"/>
  <c r="K38" i="4"/>
  <c r="H38" i="4"/>
  <c r="I38" i="4" s="1"/>
  <c r="G38" i="4"/>
  <c r="K37" i="4"/>
  <c r="H37" i="4"/>
  <c r="G37" i="4"/>
  <c r="K36" i="4"/>
  <c r="G36" i="4"/>
  <c r="H36" i="4" s="1"/>
  <c r="K35" i="4"/>
  <c r="G35" i="4"/>
  <c r="H35" i="4" s="1"/>
  <c r="I35" i="4" s="1"/>
  <c r="K34" i="4"/>
  <c r="H34" i="4"/>
  <c r="G34" i="4"/>
  <c r="K33" i="4"/>
  <c r="G33" i="4"/>
  <c r="H33" i="4" s="1"/>
  <c r="O32" i="4"/>
  <c r="K32" i="4"/>
  <c r="G32" i="4"/>
  <c r="H32" i="4" s="1"/>
  <c r="K31" i="4"/>
  <c r="G31" i="4"/>
  <c r="H31" i="4" s="1"/>
  <c r="I31" i="4" s="1"/>
  <c r="K30" i="4"/>
  <c r="I30" i="4"/>
  <c r="H30" i="4"/>
  <c r="G30" i="4"/>
  <c r="K29" i="4"/>
  <c r="G29" i="4"/>
  <c r="H29" i="4" s="1"/>
  <c r="K27" i="4"/>
  <c r="G27" i="4"/>
  <c r="H27" i="4" s="1"/>
  <c r="I27" i="4" s="1"/>
  <c r="K26" i="4"/>
  <c r="H26" i="4"/>
  <c r="I26" i="4" s="1"/>
  <c r="G26" i="4"/>
  <c r="K25" i="4"/>
  <c r="G25" i="4"/>
  <c r="H25" i="4" s="1"/>
  <c r="K24" i="4"/>
  <c r="G24" i="4"/>
  <c r="H24" i="4" s="1"/>
  <c r="O23" i="4"/>
  <c r="L23" i="4"/>
  <c r="K23" i="4"/>
  <c r="G23" i="4"/>
  <c r="H23" i="4" s="1"/>
  <c r="I23" i="4" s="1"/>
  <c r="K22" i="4"/>
  <c r="H22" i="4"/>
  <c r="G22" i="4"/>
  <c r="K21" i="4"/>
  <c r="H21" i="4"/>
  <c r="G21" i="4"/>
  <c r="K20" i="4"/>
  <c r="G20" i="4"/>
  <c r="H20" i="4" s="1"/>
  <c r="K19" i="4"/>
  <c r="G19" i="4"/>
  <c r="H19" i="4" s="1"/>
  <c r="I19" i="4" s="1"/>
  <c r="K18" i="4"/>
  <c r="H18" i="4"/>
  <c r="O18" i="4" s="1"/>
  <c r="G18" i="4"/>
  <c r="K17" i="4"/>
  <c r="H17" i="4"/>
  <c r="I17" i="4" s="1"/>
  <c r="G17" i="4"/>
  <c r="K16" i="4"/>
  <c r="G16" i="4"/>
  <c r="H16" i="4" s="1"/>
  <c r="K15" i="4"/>
  <c r="G15" i="4"/>
  <c r="H15" i="4" s="1"/>
  <c r="I15" i="4" s="1"/>
  <c r="K14" i="4"/>
  <c r="H14" i="4"/>
  <c r="O14" i="4" s="1"/>
  <c r="G14" i="4"/>
  <c r="K13" i="4"/>
  <c r="H13" i="4"/>
  <c r="G13" i="4"/>
  <c r="K12" i="4"/>
  <c r="G12" i="4"/>
  <c r="H12" i="4" s="1"/>
  <c r="K11" i="4"/>
  <c r="G11" i="4"/>
  <c r="H11" i="4" s="1"/>
  <c r="I11" i="4" s="1"/>
  <c r="K10" i="4"/>
  <c r="H10" i="4"/>
  <c r="O10" i="4" s="1"/>
  <c r="G10" i="4"/>
  <c r="K9" i="4"/>
  <c r="H9" i="4"/>
  <c r="I9" i="4" s="1"/>
  <c r="G9" i="4"/>
  <c r="G8" i="4"/>
  <c r="H8" i="4" s="1"/>
  <c r="L47" i="4" l="1"/>
  <c r="O28" i="4"/>
  <c r="I28" i="4"/>
  <c r="L28" i="4"/>
  <c r="L33" i="4"/>
  <c r="I33" i="4"/>
  <c r="O33" i="4"/>
  <c r="O25" i="4"/>
  <c r="L25" i="4"/>
  <c r="I25" i="4"/>
  <c r="L29" i="4"/>
  <c r="I29" i="4"/>
  <c r="O29" i="4"/>
  <c r="L41" i="4"/>
  <c r="I41" i="4"/>
  <c r="O41" i="4"/>
  <c r="L45" i="4"/>
  <c r="I45" i="4"/>
  <c r="O45" i="4"/>
  <c r="O42" i="4"/>
  <c r="L42" i="4"/>
  <c r="O22" i="4"/>
  <c r="L22" i="4"/>
  <c r="L16" i="4"/>
  <c r="I16" i="4"/>
  <c r="L20" i="4"/>
  <c r="I20" i="4"/>
  <c r="I22" i="4"/>
  <c r="L31" i="4"/>
  <c r="O34" i="4"/>
  <c r="L34" i="4"/>
  <c r="O9" i="4"/>
  <c r="L9" i="4"/>
  <c r="O13" i="4"/>
  <c r="L13" i="4"/>
  <c r="L17" i="4"/>
  <c r="O17" i="4"/>
  <c r="L44" i="4"/>
  <c r="I44" i="4"/>
  <c r="I13" i="4"/>
  <c r="L11" i="4"/>
  <c r="L19" i="4"/>
  <c r="L24" i="4"/>
  <c r="I24" i="4"/>
  <c r="L35" i="4"/>
  <c r="I42" i="4"/>
  <c r="O15" i="4"/>
  <c r="O38" i="4"/>
  <c r="L38" i="4"/>
  <c r="L12" i="4"/>
  <c r="I12" i="4"/>
  <c r="O24" i="4"/>
  <c r="L8" i="4"/>
  <c r="I8" i="4"/>
  <c r="O12" i="4"/>
  <c r="O16" i="4"/>
  <c r="O20" i="4"/>
  <c r="L43" i="4"/>
  <c r="L21" i="4"/>
  <c r="I21" i="4"/>
  <c r="O21" i="4"/>
  <c r="L37" i="4"/>
  <c r="I37" i="4"/>
  <c r="O37" i="4"/>
  <c r="O26" i="4"/>
  <c r="L26" i="4"/>
  <c r="L15" i="4"/>
  <c r="L40" i="4"/>
  <c r="I40" i="4"/>
  <c r="O44" i="4"/>
  <c r="O11" i="4"/>
  <c r="O19" i="4"/>
  <c r="O35" i="4"/>
  <c r="L36" i="4"/>
  <c r="I36" i="4"/>
  <c r="O40" i="4"/>
  <c r="I10" i="4"/>
  <c r="I14" i="4"/>
  <c r="I18" i="4"/>
  <c r="O31" i="4"/>
  <c r="O8" i="4"/>
  <c r="L27" i="4"/>
  <c r="L32" i="4"/>
  <c r="I32" i="4"/>
  <c r="I34" i="4"/>
  <c r="O36" i="4"/>
  <c r="L10" i="4"/>
  <c r="L14" i="4"/>
  <c r="L18" i="4"/>
  <c r="O27" i="4"/>
  <c r="O30" i="4"/>
  <c r="L30" i="4"/>
  <c r="O43" i="4"/>
  <c r="O46" i="4"/>
  <c r="L46" i="4"/>
  <c r="L48" i="4" l="1"/>
  <c r="I49" i="4"/>
  <c r="O48" i="4"/>
  <c r="N45" i="3" l="1"/>
  <c r="M45" i="3"/>
  <c r="K44" i="3"/>
  <c r="G44" i="3"/>
  <c r="H44" i="3" s="1"/>
  <c r="K43" i="3"/>
  <c r="G43" i="3"/>
  <c r="H43" i="3" s="1"/>
  <c r="K42" i="3"/>
  <c r="G42" i="3"/>
  <c r="H42" i="3" s="1"/>
  <c r="K41" i="3"/>
  <c r="G41" i="3"/>
  <c r="H41" i="3" s="1"/>
  <c r="K40" i="3"/>
  <c r="G40" i="3"/>
  <c r="H40" i="3" s="1"/>
  <c r="K39" i="3"/>
  <c r="G39" i="3"/>
  <c r="H39" i="3" s="1"/>
  <c r="K38" i="3"/>
  <c r="G38" i="3"/>
  <c r="H38" i="3" s="1"/>
  <c r="K37" i="3"/>
  <c r="G37" i="3"/>
  <c r="H37" i="3" s="1"/>
  <c r="K36" i="3"/>
  <c r="G36" i="3"/>
  <c r="H36" i="3" s="1"/>
  <c r="K35" i="3"/>
  <c r="G35" i="3"/>
  <c r="H35" i="3" s="1"/>
  <c r="K34" i="3"/>
  <c r="G34" i="3"/>
  <c r="H34" i="3" s="1"/>
  <c r="K33" i="3"/>
  <c r="G33" i="3"/>
  <c r="H33" i="3" s="1"/>
  <c r="K32" i="3"/>
  <c r="G32" i="3"/>
  <c r="H32" i="3" s="1"/>
  <c r="K31" i="3"/>
  <c r="G31" i="3"/>
  <c r="H31" i="3" s="1"/>
  <c r="K30" i="3"/>
  <c r="G30" i="3"/>
  <c r="H30" i="3" s="1"/>
  <c r="K29" i="3"/>
  <c r="G29" i="3"/>
  <c r="H29" i="3" s="1"/>
  <c r="K28" i="3"/>
  <c r="G28" i="3"/>
  <c r="H28" i="3" s="1"/>
  <c r="K27" i="3"/>
  <c r="G27" i="3"/>
  <c r="H27" i="3" s="1"/>
  <c r="K26" i="3"/>
  <c r="G26" i="3"/>
  <c r="H26" i="3" s="1"/>
  <c r="K25" i="3"/>
  <c r="G25" i="3"/>
  <c r="H25" i="3" s="1"/>
  <c r="K24" i="3"/>
  <c r="G24" i="3"/>
  <c r="H24" i="3" s="1"/>
  <c r="K23" i="3"/>
  <c r="G23" i="3"/>
  <c r="H23" i="3" s="1"/>
  <c r="K22" i="3"/>
  <c r="G22" i="3"/>
  <c r="H22" i="3" s="1"/>
  <c r="K21" i="3"/>
  <c r="G21" i="3"/>
  <c r="H21" i="3" s="1"/>
  <c r="K20" i="3"/>
  <c r="G20" i="3"/>
  <c r="H20" i="3" s="1"/>
  <c r="K19" i="3"/>
  <c r="G19" i="3"/>
  <c r="H19" i="3" s="1"/>
  <c r="K18" i="3"/>
  <c r="G18" i="3"/>
  <c r="H18" i="3" s="1"/>
  <c r="K17" i="3"/>
  <c r="G17" i="3"/>
  <c r="H17" i="3" s="1"/>
  <c r="K16" i="3"/>
  <c r="G16" i="3"/>
  <c r="H16" i="3" s="1"/>
  <c r="K15" i="3"/>
  <c r="G15" i="3"/>
  <c r="H15" i="3" s="1"/>
  <c r="K14" i="3"/>
  <c r="G14" i="3"/>
  <c r="H14" i="3" s="1"/>
  <c r="K13" i="3"/>
  <c r="G13" i="3"/>
  <c r="H13" i="3" s="1"/>
  <c r="K12" i="3"/>
  <c r="G12" i="3"/>
  <c r="H12" i="3" s="1"/>
  <c r="K11" i="3"/>
  <c r="G11" i="3"/>
  <c r="H11" i="3" s="1"/>
  <c r="K10" i="3"/>
  <c r="G10" i="3"/>
  <c r="H10" i="3" s="1"/>
  <c r="K9" i="3"/>
  <c r="G9" i="3"/>
  <c r="H9" i="3" s="1"/>
  <c r="K8" i="3"/>
  <c r="G8" i="3"/>
  <c r="H8" i="3" s="1"/>
  <c r="F10" i="2"/>
  <c r="C7" i="2"/>
  <c r="C10" i="2" s="1"/>
  <c r="N46" i="1"/>
  <c r="M46" i="1"/>
  <c r="K45" i="1"/>
  <c r="G45" i="1"/>
  <c r="H45" i="1" s="1"/>
  <c r="K44" i="1"/>
  <c r="G44" i="1"/>
  <c r="H44" i="1" s="1"/>
  <c r="G43" i="1"/>
  <c r="K42" i="1"/>
  <c r="G42" i="1"/>
  <c r="H42" i="1" s="1"/>
  <c r="G41" i="1"/>
  <c r="K40" i="1"/>
  <c r="G40" i="1"/>
  <c r="H40" i="1" s="1"/>
  <c r="K39" i="1"/>
  <c r="G39" i="1"/>
  <c r="H39" i="1" s="1"/>
  <c r="K38" i="1"/>
  <c r="G38" i="1"/>
  <c r="H38" i="1" s="1"/>
  <c r="K37" i="1"/>
  <c r="G37" i="1"/>
  <c r="H37" i="1" s="1"/>
  <c r="K36" i="1"/>
  <c r="G36" i="1"/>
  <c r="H36" i="1" s="1"/>
  <c r="K35" i="1"/>
  <c r="G35" i="1"/>
  <c r="H35" i="1" s="1"/>
  <c r="K34" i="1"/>
  <c r="G34" i="1"/>
  <c r="H34" i="1" s="1"/>
  <c r="K33" i="1"/>
  <c r="G33" i="1"/>
  <c r="H33" i="1" s="1"/>
  <c r="K32" i="1"/>
  <c r="G32" i="1"/>
  <c r="H32" i="1" s="1"/>
  <c r="K31" i="1"/>
  <c r="G31" i="1"/>
  <c r="H31" i="1" s="1"/>
  <c r="K30" i="1"/>
  <c r="G30" i="1"/>
  <c r="H30" i="1" s="1"/>
  <c r="K29" i="1"/>
  <c r="G29" i="1"/>
  <c r="H29" i="1" s="1"/>
  <c r="K28" i="1"/>
  <c r="G28" i="1"/>
  <c r="H28" i="1" s="1"/>
  <c r="K27" i="1"/>
  <c r="G27" i="1"/>
  <c r="H27" i="1" s="1"/>
  <c r="K26" i="1"/>
  <c r="G26" i="1"/>
  <c r="H26" i="1" s="1"/>
  <c r="K25" i="1"/>
  <c r="G25" i="1"/>
  <c r="H25" i="1" s="1"/>
  <c r="K24" i="1"/>
  <c r="G24" i="1"/>
  <c r="H24" i="1" s="1"/>
  <c r="K23" i="1"/>
  <c r="G23" i="1"/>
  <c r="H23" i="1" s="1"/>
  <c r="K22" i="1"/>
  <c r="G22" i="1"/>
  <c r="H22" i="1" s="1"/>
  <c r="K21" i="1"/>
  <c r="G21" i="1"/>
  <c r="H21" i="1" s="1"/>
  <c r="K20" i="1"/>
  <c r="G20" i="1"/>
  <c r="H20" i="1" s="1"/>
  <c r="K19" i="1"/>
  <c r="G19" i="1"/>
  <c r="H19" i="1" s="1"/>
  <c r="K18" i="1"/>
  <c r="G18" i="1"/>
  <c r="H18" i="1" s="1"/>
  <c r="K17" i="1"/>
  <c r="G17" i="1"/>
  <c r="H17" i="1" s="1"/>
  <c r="K16" i="1"/>
  <c r="G16" i="1"/>
  <c r="H16" i="1" s="1"/>
  <c r="K15" i="1"/>
  <c r="G15" i="1"/>
  <c r="H15" i="1" s="1"/>
  <c r="K14" i="1"/>
  <c r="G14" i="1"/>
  <c r="H14" i="1" s="1"/>
  <c r="K13" i="1"/>
  <c r="G13" i="1"/>
  <c r="H13" i="1" s="1"/>
  <c r="K12" i="1"/>
  <c r="G12" i="1"/>
  <c r="H12" i="1" s="1"/>
  <c r="K11" i="1"/>
  <c r="G11" i="1"/>
  <c r="H11" i="1" s="1"/>
  <c r="K10" i="1"/>
  <c r="G10" i="1"/>
  <c r="H10" i="1" s="1"/>
  <c r="K9" i="1"/>
  <c r="G9" i="1"/>
  <c r="H9" i="1" s="1"/>
  <c r="K8" i="1"/>
  <c r="G8" i="1"/>
  <c r="H8" i="1" s="1"/>
  <c r="I11" i="3" l="1"/>
  <c r="O11" i="3"/>
  <c r="L11" i="3"/>
  <c r="I15" i="3"/>
  <c r="O15" i="3"/>
  <c r="L15" i="3"/>
  <c r="I19" i="3"/>
  <c r="O19" i="3"/>
  <c r="L19" i="3"/>
  <c r="I23" i="3"/>
  <c r="O23" i="3"/>
  <c r="L23" i="3"/>
  <c r="I27" i="3"/>
  <c r="O27" i="3"/>
  <c r="L27" i="3"/>
  <c r="I31" i="3"/>
  <c r="O31" i="3"/>
  <c r="L31" i="3"/>
  <c r="I39" i="3"/>
  <c r="O39" i="3"/>
  <c r="L39" i="3"/>
  <c r="O8" i="3"/>
  <c r="L8" i="3"/>
  <c r="I8" i="3"/>
  <c r="L12" i="3"/>
  <c r="O12" i="3"/>
  <c r="I12" i="3"/>
  <c r="L16" i="3"/>
  <c r="O16" i="3"/>
  <c r="I16" i="3"/>
  <c r="L20" i="3"/>
  <c r="O20" i="3"/>
  <c r="I20" i="3"/>
  <c r="L24" i="3"/>
  <c r="O24" i="3"/>
  <c r="I24" i="3"/>
  <c r="L28" i="3"/>
  <c r="O28" i="3"/>
  <c r="I28" i="3"/>
  <c r="L32" i="3"/>
  <c r="O32" i="3"/>
  <c r="I32" i="3"/>
  <c r="L36" i="3"/>
  <c r="O36" i="3"/>
  <c r="I36" i="3"/>
  <c r="L40" i="3"/>
  <c r="O40" i="3"/>
  <c r="I40" i="3"/>
  <c r="L44" i="3"/>
  <c r="O44" i="3"/>
  <c r="I44" i="3"/>
  <c r="I9" i="3"/>
  <c r="O9" i="3"/>
  <c r="L9" i="3"/>
  <c r="I13" i="3"/>
  <c r="O13" i="3"/>
  <c r="L13" i="3"/>
  <c r="I17" i="3"/>
  <c r="O17" i="3"/>
  <c r="L17" i="3"/>
  <c r="I21" i="3"/>
  <c r="O21" i="3"/>
  <c r="L21" i="3"/>
  <c r="I25" i="3"/>
  <c r="O25" i="3"/>
  <c r="L25" i="3"/>
  <c r="I29" i="3"/>
  <c r="O29" i="3"/>
  <c r="L29" i="3"/>
  <c r="I33" i="3"/>
  <c r="O33" i="3"/>
  <c r="L33" i="3"/>
  <c r="I37" i="3"/>
  <c r="O37" i="3"/>
  <c r="L37" i="3"/>
  <c r="I41" i="3"/>
  <c r="O41" i="3"/>
  <c r="L41" i="3"/>
  <c r="O43" i="3"/>
  <c r="L43" i="3"/>
  <c r="I43" i="3"/>
  <c r="O10" i="3"/>
  <c r="L10" i="3"/>
  <c r="I10" i="3"/>
  <c r="O14" i="3"/>
  <c r="L14" i="3"/>
  <c r="I14" i="3"/>
  <c r="O18" i="3"/>
  <c r="L18" i="3"/>
  <c r="I18" i="3"/>
  <c r="O22" i="3"/>
  <c r="L22" i="3"/>
  <c r="I22" i="3"/>
  <c r="O26" i="3"/>
  <c r="L26" i="3"/>
  <c r="I26" i="3"/>
  <c r="O30" i="3"/>
  <c r="L30" i="3"/>
  <c r="I30" i="3"/>
  <c r="O34" i="3"/>
  <c r="L34" i="3"/>
  <c r="I34" i="3"/>
  <c r="O38" i="3"/>
  <c r="L38" i="3"/>
  <c r="I38" i="3"/>
  <c r="O42" i="3"/>
  <c r="L42" i="3"/>
  <c r="I42" i="3"/>
  <c r="I35" i="3"/>
  <c r="O35" i="3"/>
  <c r="L35" i="3"/>
  <c r="I40" i="1"/>
  <c r="L40" i="1"/>
  <c r="O40" i="1"/>
  <c r="O45" i="1"/>
  <c r="L45" i="1"/>
  <c r="I45" i="1"/>
  <c r="I36" i="1"/>
  <c r="L36" i="1"/>
  <c r="O36" i="1"/>
  <c r="O10" i="1"/>
  <c r="L10" i="1"/>
  <c r="I10" i="1"/>
  <c r="O14" i="1"/>
  <c r="L14" i="1"/>
  <c r="I14" i="1"/>
  <c r="I18" i="1"/>
  <c r="O18" i="1"/>
  <c r="L18" i="1"/>
  <c r="I22" i="1"/>
  <c r="O22" i="1"/>
  <c r="L22" i="1"/>
  <c r="I26" i="1"/>
  <c r="O26" i="1"/>
  <c r="L26" i="1"/>
  <c r="I30" i="1"/>
  <c r="O30" i="1"/>
  <c r="L30" i="1"/>
  <c r="I34" i="1"/>
  <c r="O34" i="1"/>
  <c r="L34" i="1"/>
  <c r="I38" i="1"/>
  <c r="O38" i="1"/>
  <c r="L38" i="1"/>
  <c r="L42" i="1"/>
  <c r="I42" i="1"/>
  <c r="O42" i="1"/>
  <c r="O29" i="1"/>
  <c r="L29" i="1"/>
  <c r="I29" i="1"/>
  <c r="I32" i="1"/>
  <c r="L32" i="1"/>
  <c r="O32" i="1"/>
  <c r="O37" i="1"/>
  <c r="L37" i="1"/>
  <c r="I37" i="1"/>
  <c r="O11" i="1"/>
  <c r="L11" i="1"/>
  <c r="I11" i="1"/>
  <c r="O15" i="1"/>
  <c r="L15" i="1"/>
  <c r="I15" i="1"/>
  <c r="O19" i="1"/>
  <c r="L19" i="1"/>
  <c r="I19" i="1"/>
  <c r="O23" i="1"/>
  <c r="L23" i="1"/>
  <c r="I23" i="1"/>
  <c r="O27" i="1"/>
  <c r="L27" i="1"/>
  <c r="I27" i="1"/>
  <c r="O31" i="1"/>
  <c r="L31" i="1"/>
  <c r="I31" i="1"/>
  <c r="O35" i="1"/>
  <c r="L35" i="1"/>
  <c r="I35" i="1"/>
  <c r="O39" i="1"/>
  <c r="L39" i="1"/>
  <c r="I39" i="1"/>
  <c r="I8" i="1"/>
  <c r="L8" i="1"/>
  <c r="O8" i="1"/>
  <c r="I12" i="1"/>
  <c r="L12" i="1"/>
  <c r="O12" i="1"/>
  <c r="I16" i="1"/>
  <c r="L16" i="1"/>
  <c r="O16" i="1"/>
  <c r="I20" i="1"/>
  <c r="L20" i="1"/>
  <c r="O20" i="1"/>
  <c r="I24" i="1"/>
  <c r="L24" i="1"/>
  <c r="O24" i="1"/>
  <c r="I28" i="1"/>
  <c r="L28" i="1"/>
  <c r="O28" i="1"/>
  <c r="I44" i="1"/>
  <c r="O44" i="1"/>
  <c r="L44" i="1"/>
  <c r="O9" i="1"/>
  <c r="L9" i="1"/>
  <c r="I9" i="1"/>
  <c r="O13" i="1"/>
  <c r="L13" i="1"/>
  <c r="I13" i="1"/>
  <c r="O17" i="1"/>
  <c r="L17" i="1"/>
  <c r="I17" i="1"/>
  <c r="O21" i="1"/>
  <c r="L21" i="1"/>
  <c r="I21" i="1"/>
  <c r="O25" i="1"/>
  <c r="L25" i="1"/>
  <c r="I25" i="1"/>
  <c r="O33" i="1"/>
  <c r="L33" i="1"/>
  <c r="I33" i="1"/>
  <c r="I46" i="3" l="1"/>
  <c r="L45" i="3"/>
  <c r="O45" i="3"/>
  <c r="O46" i="3" s="1"/>
  <c r="K43" i="1" l="1"/>
  <c r="H43" i="1"/>
  <c r="L43" i="1" s="1"/>
  <c r="I43" i="1" l="1"/>
  <c r="O43" i="1"/>
  <c r="K41" i="1"/>
  <c r="H41" i="1"/>
  <c r="O41" i="1" s="1"/>
  <c r="O46" i="1" s="1"/>
  <c r="O47" i="1" s="1"/>
  <c r="I41" i="1" l="1"/>
  <c r="I47" i="1" s="1"/>
  <c r="L41" i="1"/>
  <c r="L46" i="1" s="1"/>
</calcChain>
</file>

<file path=xl/sharedStrings.xml><?xml version="1.0" encoding="utf-8"?>
<sst xmlns="http://schemas.openxmlformats.org/spreadsheetml/2006/main" count="947" uniqueCount="153">
  <si>
    <t>Paiement Primes de Stage Août 2026</t>
  </si>
  <si>
    <t>ESPECES BILLETAGE NET A PAYER DU MOIS DE AOÛT 2026</t>
  </si>
  <si>
    <t>A remplir</t>
  </si>
  <si>
    <t>Nom et prénoms</t>
  </si>
  <si>
    <t>Projet</t>
  </si>
  <si>
    <t>superviseur</t>
  </si>
  <si>
    <t>Poste</t>
  </si>
  <si>
    <t>Salaire de base net/mois</t>
  </si>
  <si>
    <t xml:space="preserve">Heure Nominal </t>
  </si>
  <si>
    <t>Salaire/Heure</t>
  </si>
  <si>
    <t>NET A PAYER</t>
  </si>
  <si>
    <t>Arrondi entier naturel inf</t>
  </si>
  <si>
    <t>Nbre de heures à payer</t>
  </si>
  <si>
    <t>Nbre de heures d'absence</t>
  </si>
  <si>
    <t>retrait salaire absence/retard</t>
  </si>
  <si>
    <t>Prime Juillet</t>
  </si>
  <si>
    <t>Prime Coach métier</t>
  </si>
  <si>
    <t>Total Août</t>
  </si>
  <si>
    <t>Total Juillet sans formule</t>
  </si>
  <si>
    <t>Matricule</t>
  </si>
  <si>
    <t>BOUAFFOU M'la Anne Gilberte</t>
  </si>
  <si>
    <t>FIDELIS</t>
  </si>
  <si>
    <t>Sery Serge</t>
  </si>
  <si>
    <t>Stagiaire Télévendeur</t>
  </si>
  <si>
    <t>FANDE Denis Wilfried Onesime</t>
  </si>
  <si>
    <t>GABE Ange Magloire</t>
  </si>
  <si>
    <t>KOUADIO Akissi Ghislaine</t>
  </si>
  <si>
    <t>N'DRI Aya Leen Dominique</t>
  </si>
  <si>
    <t>N'GUESSAN Ouffoue Hoylane</t>
  </si>
  <si>
    <t>ZALO Flore Marie Benie</t>
  </si>
  <si>
    <t>ADJORO Affa Cho Christiane Raïssa</t>
  </si>
  <si>
    <t>MTN</t>
  </si>
  <si>
    <t>Gédéon DJADJI</t>
  </si>
  <si>
    <t>AKA Affoué Martine</t>
  </si>
  <si>
    <t>AZO Djekou Audrey Irénée Débora</t>
  </si>
  <si>
    <t>BABERE Dominique Axelle-Laetitia</t>
  </si>
  <si>
    <t>BAMBA Nenin</t>
  </si>
  <si>
    <t>BEUGRE Attié Rénée Odile</t>
  </si>
  <si>
    <t>BLEY Gbalé Campbell Josué</t>
  </si>
  <si>
    <t>BOLI Stéphanie Laurette</t>
  </si>
  <si>
    <t>DIGBEA Homa Josiane</t>
  </si>
  <si>
    <t>DIOMANDE Myriam Fatim Malika</t>
  </si>
  <si>
    <t>DOGBO Marie Sylviane</t>
  </si>
  <si>
    <t>Eganeme Sess Alex Carel</t>
  </si>
  <si>
    <t>FLAN DILANE ACQUINE</t>
  </si>
  <si>
    <t>GNOLEBA Gboba Jean Bedel</t>
  </si>
  <si>
    <t>GOLE Lou Bouzié Epiphanie Ketura</t>
  </si>
  <si>
    <t>GUIGO Ariane Jocelyne</t>
  </si>
  <si>
    <t>KANHON Derou Ariane Eudes</t>
  </si>
  <si>
    <t>KOFFI Etchian Adon Ange Marie-Aimée</t>
  </si>
  <si>
    <t>Kokore Amena Ange Emmanuella</t>
  </si>
  <si>
    <t>KONE Fiéké</t>
  </si>
  <si>
    <t>NIKIEMA Béléwendé</t>
  </si>
  <si>
    <t>OUATTARA Nabougomba Yasmine</t>
  </si>
  <si>
    <t>OUATTARA Quolaut Fatim</t>
  </si>
  <si>
    <t>OUATTARA Soumaïla</t>
  </si>
  <si>
    <t>TA Lou Boli Charlotte</t>
  </si>
  <si>
    <t>TATO Zérégbé Lepou Bénédicte</t>
  </si>
  <si>
    <t>TRAORE Yann Abdoul Aziz</t>
  </si>
  <si>
    <t>TRABOUE Bi Guessan Ange</t>
  </si>
  <si>
    <t>TRAORE Awa</t>
  </si>
  <si>
    <t>YAO Akissi Alexandra Hermance</t>
  </si>
  <si>
    <t>YOUAN Bi Emmanuel</t>
  </si>
  <si>
    <t>Arrondi</t>
  </si>
  <si>
    <t>PRIME Controleur Qualité &amp; Formation</t>
  </si>
  <si>
    <t>PRIME MANAGER CRC</t>
  </si>
  <si>
    <t>Note qualité</t>
  </si>
  <si>
    <t>Prime MTN Juillet</t>
  </si>
  <si>
    <t>Prime FIDELIS</t>
  </si>
  <si>
    <t>Rendement</t>
  </si>
  <si>
    <t>Regule Juin</t>
  </si>
  <si>
    <t>Prime de supervision FIDELIS</t>
  </si>
  <si>
    <t>Total prime à payer</t>
  </si>
  <si>
    <t>XGS-TC07</t>
  </si>
  <si>
    <t>XGS-TC02</t>
  </si>
  <si>
    <t>XGS-TC06</t>
  </si>
  <si>
    <t>XGS-TC08</t>
  </si>
  <si>
    <t>XGS-TC01</t>
  </si>
  <si>
    <t>XGS-TC03</t>
  </si>
  <si>
    <t>XGS-TC10</t>
  </si>
  <si>
    <t>XGS-TC11</t>
  </si>
  <si>
    <t>XGS-TC41</t>
  </si>
  <si>
    <t>XGS-TC12</t>
  </si>
  <si>
    <t>XGS-TC13</t>
  </si>
  <si>
    <t>XGS-TC14</t>
  </si>
  <si>
    <t>XGS-TC15</t>
  </si>
  <si>
    <t>XGS-TC16</t>
  </si>
  <si>
    <t>XGS-TC17</t>
  </si>
  <si>
    <t>XGS-TC18</t>
  </si>
  <si>
    <t>XGS-TC19</t>
  </si>
  <si>
    <t>XGS-TC20</t>
  </si>
  <si>
    <t>XGS-TC21</t>
  </si>
  <si>
    <t>XGS-TC22</t>
  </si>
  <si>
    <t>XGS-TC23</t>
  </si>
  <si>
    <t>XGS-TC24</t>
  </si>
  <si>
    <t>XGS-TC25</t>
  </si>
  <si>
    <t>XGS-TC26</t>
  </si>
  <si>
    <t>XGS-TC27</t>
  </si>
  <si>
    <t>XGS-TC28</t>
  </si>
  <si>
    <t>XGS-TC29</t>
  </si>
  <si>
    <t>XGS-TC38</t>
  </si>
  <si>
    <t>XGS-TC39</t>
  </si>
  <si>
    <t>XGS-TC40</t>
  </si>
  <si>
    <t>XGS-TC31</t>
  </si>
  <si>
    <t>XGS-TC32</t>
  </si>
  <si>
    <t>XGS-TC33</t>
  </si>
  <si>
    <t>XGS-TC34</t>
  </si>
  <si>
    <t>XGS-TC35</t>
  </si>
  <si>
    <t>XGS-TC36</t>
  </si>
  <si>
    <t>XGS-TC37</t>
  </si>
  <si>
    <t>KOFFI Ottobe Jean Desire</t>
  </si>
  <si>
    <t>Prime juin</t>
  </si>
  <si>
    <t>XGS-TC09</t>
  </si>
  <si>
    <t>TATO Zérégbé  Lepou Bénédicte</t>
  </si>
  <si>
    <t>ESPECES BILLETAGE NET A PAYER DU MOIS DE Juillet</t>
  </si>
  <si>
    <t>Paiement Primes de Stage Juillet 2026</t>
  </si>
  <si>
    <t>Total Juillet</t>
  </si>
  <si>
    <t>Paiement Primes de Stage Juin 2026</t>
  </si>
  <si>
    <t>ESPECES BILLETAGE NET A PAYER DU MOIS DE JUIN</t>
  </si>
  <si>
    <t>Prime Mai</t>
  </si>
  <si>
    <t>Total Juin</t>
  </si>
  <si>
    <t>ADJA Orsot Assovié Arold</t>
  </si>
  <si>
    <t xml:space="preserve">BICALO Naomie Mondésir Danielle </t>
  </si>
  <si>
    <t>BAMBA NENIN</t>
  </si>
  <si>
    <t>DIOMANDE MYRIAM Fatim Malika</t>
  </si>
  <si>
    <t>OUATTARA QUOLAUT FATIM</t>
  </si>
  <si>
    <t>SYLLA HASSANATOU</t>
  </si>
  <si>
    <t>TA LOU BOLI CHARLOTTE</t>
  </si>
  <si>
    <t>TRABOUE BI GUESSAN ANGE</t>
  </si>
  <si>
    <t>TRAORE AWA</t>
  </si>
  <si>
    <t>YOUAN BI EMMANUEL</t>
  </si>
  <si>
    <t>XGS-TC43</t>
  </si>
  <si>
    <t>XGS-TC42</t>
  </si>
  <si>
    <t>XGS-TC30</t>
  </si>
  <si>
    <t>Paiement Primes de Stage Mai 2026</t>
  </si>
  <si>
    <t>ESPECES BILLETAGE NET A PAYER DU MOIS DE MAI</t>
  </si>
  <si>
    <t>Nbre de jours d'absence</t>
  </si>
  <si>
    <t>Bonus avril</t>
  </si>
  <si>
    <t>Total Mai</t>
  </si>
  <si>
    <t>GABE ANGE MAGLOIRE</t>
  </si>
  <si>
    <t>KOUADIO Innocent Konan</t>
  </si>
  <si>
    <t>KOFFI OTTOBE JEAN DESIRE</t>
  </si>
  <si>
    <t>SOGNI LANDOU ESPOIR JEANELIA</t>
  </si>
  <si>
    <t>GOURAHI LAETICIA CARMEL</t>
  </si>
  <si>
    <t>BAMON Semou Marie Ange</t>
  </si>
  <si>
    <t>XGS-TC44</t>
  </si>
  <si>
    <t>XGS-TC45</t>
  </si>
  <si>
    <t>XGS-TC46</t>
  </si>
  <si>
    <t>XGS-TC47</t>
  </si>
  <si>
    <t>ESPECES BILLETAGE NET A PAYER DU MOIS DE</t>
  </si>
  <si>
    <t>Nbre de jours à payer</t>
  </si>
  <si>
    <t>Total Avril</t>
  </si>
  <si>
    <t>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</si>
</sst>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* #,##0_);_(* \(#,##0\);_(* \-??_);_(@_)"/>
    <numFmt numFmtId="165" formatCode="[$-40C]mmm\-yy;@"/>
    <numFmt numFmtId="166" formatCode="_(* #,##0.0_);_(* \(#,##0.0\);_(* \-??_);_(@_)"/>
    <numFmt numFmtId="167" formatCode="_-* #,##0.00\ _€_-;\-* #,##0.00\ _€_-;_-* \-?\ _€_-;_-@_-"/>
    <numFmt numFmtId="168" formatCode="_(* #,##0_);_(* \(#,##0\);_(* &quot;-&quot;??_);_(@_)"/>
    <numFmt numFmtId="169" formatCode="_(* #,##0.0_);_(* \(#,##0.0\);_(* &quot;-&quot;??_);_(@_)"/>
    <numFmt numFmtId="170" formatCode="_-* #,##0.00\ _€_-;\-* #,##0.00\ _€_-;_-* &quot;-&quot;?\ _€_-;_-@_-"/>
  </numFmts>
  <fonts count="19" x14ac:knownFonts="1">
    <font>
      <sz val="11"/>
      <color theme="1"/>
      <name val="Calibri"/>
      <family val="2"/>
      <charset val="1"/>
    </font>
    <font>
      <sz val="8"/>
      <color theme="1"/>
      <name val="Calibri"/>
      <family val="2"/>
      <charset val="1"/>
    </font>
    <font>
      <sz val="8"/>
      <color rgb="FF000000"/>
      <name val="Calibri Light"/>
      <family val="2"/>
      <charset val="1"/>
    </font>
    <font>
      <b/>
      <sz val="8"/>
      <color theme="1"/>
      <name val="Calibri Light"/>
      <family val="2"/>
      <charset val="1"/>
    </font>
    <font>
      <sz val="8"/>
      <color theme="1"/>
      <name val="Calibri Light"/>
      <family val="2"/>
      <charset val="1"/>
    </font>
    <font>
      <i/>
      <sz val="8"/>
      <color rgb="FF808080"/>
      <name val="Calibri"/>
      <family val="2"/>
    </font>
    <font>
      <b/>
      <sz val="8"/>
      <name val="Calibri Light"/>
      <family val="2"/>
      <charset val="1"/>
    </font>
    <font>
      <sz val="8"/>
      <color rgb="FFFF0000"/>
      <name val="Calibri"/>
      <family val="2"/>
      <charset val="1"/>
    </font>
    <font>
      <b/>
      <sz val="8"/>
      <color rgb="FFFF0000"/>
      <name val="Calibri Light"/>
      <family val="2"/>
      <charset val="1"/>
    </font>
    <font>
      <sz val="10"/>
      <color theme="1"/>
      <name val="Calibri"/>
      <family val="2"/>
    </font>
    <font>
      <sz val="8"/>
      <name val="Calibri"/>
      <family val="2"/>
      <charset val="1"/>
    </font>
    <font>
      <sz val="11"/>
      <color theme="1"/>
      <name val="Calibri"/>
      <family val="2"/>
      <charset val="1"/>
    </font>
    <font>
      <b/>
      <sz val="8"/>
      <name val="Calibri Light"/>
      <family val="2"/>
      <scheme val="major"/>
    </font>
    <font>
      <sz val="8"/>
      <color theme="1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rgb="FF000000"/>
      <name val="Calibri Light"/>
      <family val="2"/>
      <scheme val="major"/>
    </font>
    <font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color rgb="FFFF0000"/>
      <name val="Calibri Light"/>
      <family val="2"/>
      <scheme val="major"/>
    </font>
  </fonts>
  <fills count="19">
    <fill>
      <patternFill patternType="none"/>
    </fill>
    <fill>
      <patternFill patternType="gray125"/>
    </fill>
    <fill>
      <patternFill patternType="solid">
        <fgColor theme="0" tint="-0.249977111117893"/>
        <bgColor rgb="FFB4C7E7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theme="4" tint="0.79989013336588644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theme="4" tint="0.39988402966399123"/>
        <bgColor rgb="FFB4C7E7"/>
      </patternFill>
    </fill>
    <fill>
      <patternFill patternType="solid">
        <fgColor theme="4" tint="0.59987182226020086"/>
        <bgColor rgb="FFBFBFBF"/>
      </patternFill>
    </fill>
    <fill>
      <patternFill patternType="solid">
        <fgColor theme="5" tint="0.39988402966399123"/>
        <bgColor rgb="FFFF99CC"/>
      </patternFill>
    </fill>
    <fill>
      <patternFill patternType="solid">
        <fgColor rgb="FF00B050"/>
        <bgColor rgb="FF008080"/>
      </patternFill>
    </fill>
    <fill>
      <patternFill patternType="solid">
        <fgColor theme="9" tint="0.39988402966399123"/>
        <bgColor rgb="FFBFBFBF"/>
      </patternFill>
    </fill>
    <fill>
      <patternFill patternType="solid">
        <fgColor rgb="FFD1EF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FF00"/>
      </top>
      <bottom style="medium">
        <color rgb="FF000000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125">
    <xf numFmtId="0" fontId="0" fillId="0" borderId="0" xfId="0"/>
    <xf numFmtId="0" fontId="1" fillId="0" borderId="0" xfId="0" applyFont="1" applyAlignment="1" applyProtection="1">
      <alignment vertical="center"/>
    </xf>
    <xf numFmtId="3" fontId="1" fillId="0" borderId="0" xfId="0" applyNumberFormat="1" applyFont="1" applyAlignment="1" applyProtection="1">
      <alignment vertical="center"/>
    </xf>
    <xf numFmtId="0" fontId="2" fillId="0" borderId="0" xfId="0" applyFont="1" applyAlignment="1" applyProtection="1">
      <alignment vertical="center"/>
    </xf>
    <xf numFmtId="3" fontId="2" fillId="0" borderId="0" xfId="0" applyNumberFormat="1" applyFont="1" applyAlignment="1" applyProtection="1">
      <alignment vertical="center"/>
    </xf>
    <xf numFmtId="164" fontId="1" fillId="0" borderId="0" xfId="0" applyNumberFormat="1" applyFont="1" applyAlignment="1" applyProtection="1">
      <alignment vertical="center"/>
    </xf>
    <xf numFmtId="0" fontId="4" fillId="0" borderId="0" xfId="0" applyFont="1" applyAlignment="1" applyProtection="1">
      <alignment vertical="center"/>
    </xf>
    <xf numFmtId="165" fontId="2" fillId="0" borderId="0" xfId="0" applyNumberFormat="1" applyFont="1" applyAlignment="1" applyProtection="1">
      <alignment horizontal="left" vertical="center"/>
    </xf>
    <xf numFmtId="0" fontId="5" fillId="0" borderId="0" xfId="0" applyFont="1" applyAlignment="1" applyProtection="1"/>
    <xf numFmtId="164" fontId="6" fillId="3" borderId="1" xfId="0" applyNumberFormat="1" applyFont="1" applyFill="1" applyBorder="1" applyAlignment="1" applyProtection="1">
      <alignment horizontal="center" vertical="center"/>
    </xf>
    <xf numFmtId="164" fontId="6" fillId="3" borderId="2" xfId="0" applyNumberFormat="1" applyFont="1" applyFill="1" applyBorder="1" applyAlignment="1" applyProtection="1">
      <alignment horizontal="center" vertical="center"/>
    </xf>
    <xf numFmtId="164" fontId="6" fillId="3" borderId="3" xfId="0" applyNumberFormat="1" applyFont="1" applyFill="1" applyBorder="1" applyAlignment="1" applyProtection="1">
      <alignment horizontal="center" vertical="center"/>
    </xf>
    <xf numFmtId="3" fontId="6" fillId="3" borderId="4" xfId="0" applyNumberFormat="1" applyFont="1" applyFill="1" applyBorder="1" applyAlignment="1" applyProtection="1">
      <alignment horizontal="center" vertical="center" wrapText="1"/>
    </xf>
    <xf numFmtId="164" fontId="6" fillId="3" borderId="4" xfId="0" applyNumberFormat="1" applyFont="1" applyFill="1" applyBorder="1" applyAlignment="1" applyProtection="1">
      <alignment horizontal="center" vertical="center" wrapText="1"/>
    </xf>
    <xf numFmtId="164" fontId="6" fillId="3" borderId="4" xfId="0" applyNumberFormat="1" applyFont="1" applyFill="1" applyBorder="1" applyAlignment="1" applyProtection="1">
      <alignment horizontal="center" vertical="center"/>
    </xf>
    <xf numFmtId="164" fontId="6" fillId="3" borderId="5" xfId="0" applyNumberFormat="1" applyFont="1" applyFill="1" applyBorder="1" applyAlignment="1" applyProtection="1">
      <alignment horizontal="center" vertical="center"/>
    </xf>
    <xf numFmtId="164" fontId="6" fillId="3" borderId="6" xfId="0" applyNumberFormat="1" applyFont="1" applyFill="1" applyBorder="1" applyAlignment="1" applyProtection="1">
      <alignment horizontal="center" vertical="center" wrapText="1"/>
    </xf>
    <xf numFmtId="164" fontId="6" fillId="3" borderId="3" xfId="0" applyNumberFormat="1" applyFont="1" applyFill="1" applyBorder="1" applyAlignment="1" applyProtection="1">
      <alignment horizontal="center" vertical="center" wrapText="1"/>
    </xf>
    <xf numFmtId="164" fontId="6" fillId="4" borderId="1" xfId="0" applyNumberFormat="1" applyFont="1" applyFill="1" applyBorder="1" applyAlignment="1" applyProtection="1">
      <alignment horizontal="center" vertical="center" wrapText="1"/>
    </xf>
    <xf numFmtId="164" fontId="6" fillId="4" borderId="6" xfId="0" applyNumberFormat="1" applyFont="1" applyFill="1" applyBorder="1" applyAlignment="1" applyProtection="1">
      <alignment horizontal="center" vertical="center" wrapText="1"/>
    </xf>
    <xf numFmtId="164" fontId="6" fillId="4" borderId="5" xfId="0" applyNumberFormat="1" applyFont="1" applyFill="1" applyBorder="1" applyAlignment="1" applyProtection="1">
      <alignment horizontal="center" vertical="center" wrapText="1"/>
    </xf>
    <xf numFmtId="0" fontId="6" fillId="3" borderId="5" xfId="0" applyFont="1" applyFill="1" applyBorder="1" applyAlignment="1" applyProtection="1">
      <alignment horizontal="center" vertical="center"/>
    </xf>
    <xf numFmtId="164" fontId="6" fillId="5" borderId="7" xfId="0" applyNumberFormat="1" applyFont="1" applyFill="1" applyBorder="1" applyAlignment="1" applyProtection="1">
      <alignment vertical="center"/>
    </xf>
    <xf numFmtId="164" fontId="6" fillId="5" borderId="8" xfId="0" applyNumberFormat="1" applyFont="1" applyFill="1" applyBorder="1" applyAlignment="1" applyProtection="1">
      <alignment vertical="center"/>
    </xf>
    <xf numFmtId="164" fontId="6" fillId="0" borderId="8" xfId="0" applyNumberFormat="1" applyFont="1" applyBorder="1" applyAlignment="1" applyProtection="1">
      <alignment vertical="center"/>
    </xf>
    <xf numFmtId="164" fontId="6" fillId="0" borderId="9" xfId="0" applyNumberFormat="1" applyFont="1" applyBorder="1" applyAlignment="1" applyProtection="1">
      <alignment vertical="center"/>
    </xf>
    <xf numFmtId="3" fontId="6" fillId="0" borderId="10" xfId="0" applyNumberFormat="1" applyFont="1" applyBorder="1" applyAlignment="1" applyProtection="1">
      <alignment vertical="center"/>
    </xf>
    <xf numFmtId="164" fontId="6" fillId="0" borderId="11" xfId="0" applyNumberFormat="1" applyFont="1" applyBorder="1" applyAlignment="1" applyProtection="1">
      <alignment vertical="center"/>
    </xf>
    <xf numFmtId="164" fontId="6" fillId="0" borderId="10" xfId="0" applyNumberFormat="1" applyFont="1" applyBorder="1" applyAlignment="1" applyProtection="1">
      <alignment vertical="center"/>
    </xf>
    <xf numFmtId="164" fontId="6" fillId="0" borderId="12" xfId="0" applyNumberFormat="1" applyFont="1" applyBorder="1" applyAlignment="1" applyProtection="1">
      <alignment vertical="center"/>
    </xf>
    <xf numFmtId="166" fontId="6" fillId="0" borderId="11" xfId="0" applyNumberFormat="1" applyFont="1" applyBorder="1" applyAlignment="1" applyProtection="1">
      <alignment vertical="center"/>
    </xf>
    <xf numFmtId="167" fontId="1" fillId="0" borderId="13" xfId="0" applyNumberFormat="1" applyFont="1" applyBorder="1" applyAlignment="1" applyProtection="1">
      <alignment vertical="center"/>
    </xf>
    <xf numFmtId="164" fontId="7" fillId="0" borderId="10" xfId="0" applyNumberFormat="1" applyFont="1" applyBorder="1" applyAlignment="1" applyProtection="1">
      <alignment vertical="center"/>
    </xf>
    <xf numFmtId="164" fontId="6" fillId="0" borderId="14" xfId="0" applyNumberFormat="1" applyFont="1" applyBorder="1" applyAlignment="1" applyProtection="1">
      <alignment vertical="center"/>
    </xf>
    <xf numFmtId="164" fontId="6" fillId="0" borderId="12" xfId="0" applyNumberFormat="1" applyFont="1" applyBorder="1" applyAlignment="1" applyProtection="1">
      <alignment horizontal="center" vertical="center"/>
    </xf>
    <xf numFmtId="164" fontId="6" fillId="3" borderId="7" xfId="0" applyNumberFormat="1" applyFont="1" applyFill="1" applyBorder="1" applyAlignment="1" applyProtection="1">
      <alignment vertical="center"/>
    </xf>
    <xf numFmtId="164" fontId="6" fillId="5" borderId="15" xfId="0" applyNumberFormat="1" applyFont="1" applyFill="1" applyBorder="1" applyAlignment="1" applyProtection="1">
      <alignment vertical="center"/>
    </xf>
    <xf numFmtId="3" fontId="6" fillId="0" borderId="16" xfId="0" applyNumberFormat="1" applyFont="1" applyBorder="1" applyAlignment="1" applyProtection="1">
      <alignment vertical="center"/>
    </xf>
    <xf numFmtId="164" fontId="6" fillId="6" borderId="15" xfId="0" applyNumberFormat="1" applyFont="1" applyFill="1" applyBorder="1" applyAlignment="1" applyProtection="1">
      <alignment vertical="center"/>
    </xf>
    <xf numFmtId="164" fontId="6" fillId="6" borderId="17" xfId="0" applyNumberFormat="1" applyFont="1" applyFill="1" applyBorder="1" applyAlignment="1" applyProtection="1">
      <alignment vertical="center"/>
    </xf>
    <xf numFmtId="164" fontId="6" fillId="0" borderId="17" xfId="0" applyNumberFormat="1" applyFont="1" applyBorder="1" applyAlignment="1" applyProtection="1">
      <alignment vertical="center"/>
    </xf>
    <xf numFmtId="164" fontId="6" fillId="3" borderId="15" xfId="0" applyNumberFormat="1" applyFont="1" applyFill="1" applyBorder="1" applyAlignment="1" applyProtection="1">
      <alignment vertical="center"/>
    </xf>
    <xf numFmtId="164" fontId="6" fillId="0" borderId="18" xfId="0" applyNumberFormat="1" applyFont="1" applyBorder="1" applyAlignment="1" applyProtection="1">
      <alignment vertical="center"/>
    </xf>
    <xf numFmtId="164" fontId="6" fillId="6" borderId="7" xfId="0" applyNumberFormat="1" applyFont="1" applyFill="1" applyBorder="1" applyAlignment="1" applyProtection="1">
      <alignment vertical="center"/>
    </xf>
    <xf numFmtId="3" fontId="6" fillId="0" borderId="13" xfId="0" applyNumberFormat="1" applyFont="1" applyBorder="1" applyAlignment="1" applyProtection="1">
      <alignment vertical="center"/>
    </xf>
    <xf numFmtId="164" fontId="6" fillId="0" borderId="19" xfId="0" applyNumberFormat="1" applyFont="1" applyBorder="1" applyAlignment="1" applyProtection="1">
      <alignment vertical="center"/>
    </xf>
    <xf numFmtId="0" fontId="3" fillId="0" borderId="20" xfId="0" applyFont="1" applyBorder="1" applyAlignment="1" applyProtection="1">
      <alignment horizontal="center" vertical="center"/>
    </xf>
    <xf numFmtId="3" fontId="8" fillId="0" borderId="13" xfId="0" applyNumberFormat="1" applyFont="1" applyBorder="1" applyAlignment="1" applyProtection="1">
      <alignment horizontal="center" vertical="center"/>
    </xf>
    <xf numFmtId="0" fontId="0" fillId="0" borderId="0" xfId="0" applyAlignment="1" applyProtection="1"/>
    <xf numFmtId="3" fontId="0" fillId="0" borderId="0" xfId="0" applyNumberFormat="1" applyAlignment="1" applyProtection="1"/>
    <xf numFmtId="0" fontId="0" fillId="8" borderId="13" xfId="0" applyFont="1" applyFill="1" applyBorder="1" applyAlignment="1" applyProtection="1">
      <alignment horizontal="center" vertical="center"/>
    </xf>
    <xf numFmtId="0" fontId="0" fillId="0" borderId="13" xfId="0" applyFont="1" applyBorder="1" applyAlignment="1" applyProtection="1"/>
    <xf numFmtId="3" fontId="0" fillId="0" borderId="13" xfId="0" applyNumberFormat="1" applyBorder="1" applyAlignment="1" applyProtection="1">
      <alignment horizontal="center" vertical="center"/>
    </xf>
    <xf numFmtId="10" fontId="0" fillId="0" borderId="13" xfId="0" applyNumberFormat="1" applyBorder="1" applyAlignment="1" applyProtection="1">
      <alignment horizontal="center" vertical="center"/>
    </xf>
    <xf numFmtId="0" fontId="0" fillId="9" borderId="13" xfId="0" applyFont="1" applyFill="1" applyBorder="1" applyAlignment="1" applyProtection="1">
      <alignment horizontal="center" vertical="center"/>
    </xf>
    <xf numFmtId="3" fontId="0" fillId="10" borderId="13" xfId="0" applyNumberFormat="1" applyFill="1" applyBorder="1" applyAlignment="1" applyProtection="1">
      <alignment horizontal="center" vertical="center"/>
    </xf>
    <xf numFmtId="3" fontId="0" fillId="11" borderId="21" xfId="0" applyNumberFormat="1" applyFill="1" applyBorder="1" applyAlignment="1" applyProtection="1">
      <alignment horizontal="center" vertical="center"/>
    </xf>
    <xf numFmtId="3" fontId="0" fillId="0" borderId="0" xfId="0" applyNumberFormat="1" applyAlignment="1" applyProtection="1">
      <alignment horizontal="center" vertical="center"/>
    </xf>
    <xf numFmtId="0" fontId="1" fillId="0" borderId="0" xfId="0" applyFont="1" applyAlignment="1" applyProtection="1">
      <alignment horizontal="center" vertical="center"/>
    </xf>
    <xf numFmtId="0" fontId="5" fillId="0" borderId="0" xfId="0" applyFont="1" applyAlignment="1" applyProtection="1">
      <alignment horizontal="center"/>
    </xf>
    <xf numFmtId="0" fontId="9" fillId="12" borderId="22" xfId="0" applyFont="1" applyFill="1" applyBorder="1" applyAlignment="1">
      <alignment horizontal="center"/>
    </xf>
    <xf numFmtId="0" fontId="9" fillId="12" borderId="23" xfId="0" applyFont="1" applyFill="1" applyBorder="1" applyAlignment="1">
      <alignment horizontal="center"/>
    </xf>
    <xf numFmtId="0" fontId="9" fillId="13" borderId="22" xfId="0" applyFont="1" applyFill="1" applyBorder="1" applyAlignment="1">
      <alignment horizontal="center"/>
    </xf>
    <xf numFmtId="168" fontId="12" fillId="14" borderId="7" xfId="1" applyNumberFormat="1" applyFont="1" applyFill="1" applyBorder="1" applyAlignment="1">
      <alignment vertical="center"/>
    </xf>
    <xf numFmtId="168" fontId="12" fillId="13" borderId="7" xfId="1" applyNumberFormat="1" applyFont="1" applyFill="1" applyBorder="1" applyAlignment="1">
      <alignment vertical="center"/>
    </xf>
    <xf numFmtId="168" fontId="12" fillId="14" borderId="15" xfId="1" applyNumberFormat="1" applyFont="1" applyFill="1" applyBorder="1" applyAlignment="1">
      <alignment vertical="center"/>
    </xf>
    <xf numFmtId="3" fontId="12" fillId="0" borderId="10" xfId="1" applyNumberFormat="1" applyFont="1" applyBorder="1" applyAlignment="1">
      <alignment vertical="center"/>
    </xf>
    <xf numFmtId="3" fontId="12" fillId="0" borderId="16" xfId="1" applyNumberFormat="1" applyFont="1" applyBorder="1" applyAlignment="1">
      <alignment vertical="center"/>
    </xf>
    <xf numFmtId="168" fontId="12" fillId="0" borderId="11" xfId="1" applyNumberFormat="1" applyFont="1" applyBorder="1" applyAlignment="1">
      <alignment vertical="center"/>
    </xf>
    <xf numFmtId="169" fontId="12" fillId="0" borderId="11" xfId="1" applyNumberFormat="1" applyFont="1" applyBorder="1" applyAlignment="1">
      <alignment vertical="center"/>
    </xf>
    <xf numFmtId="168" fontId="12" fillId="0" borderId="14" xfId="1" applyNumberFormat="1" applyFont="1" applyBorder="1" applyAlignment="1">
      <alignment vertical="center"/>
    </xf>
    <xf numFmtId="168" fontId="12" fillId="15" borderId="1" xfId="1" applyNumberFormat="1" applyFont="1" applyFill="1" applyBorder="1" applyAlignment="1">
      <alignment horizontal="center" vertical="center" wrapText="1"/>
    </xf>
    <xf numFmtId="0" fontId="9" fillId="12" borderId="22" xfId="0" applyFont="1" applyFill="1" applyBorder="1"/>
    <xf numFmtId="0" fontId="9" fillId="12" borderId="23" xfId="0" applyFont="1" applyFill="1" applyBorder="1"/>
    <xf numFmtId="168" fontId="12" fillId="16" borderId="15" xfId="1" applyNumberFormat="1" applyFont="1" applyFill="1" applyBorder="1" applyAlignment="1">
      <alignment vertical="center"/>
    </xf>
    <xf numFmtId="168" fontId="12" fillId="13" borderId="15" xfId="1" applyNumberFormat="1" applyFont="1" applyFill="1" applyBorder="1" applyAlignment="1">
      <alignment vertical="center"/>
    </xf>
    <xf numFmtId="168" fontId="12" fillId="16" borderId="7" xfId="1" applyNumberFormat="1" applyFont="1" applyFill="1" applyBorder="1" applyAlignment="1">
      <alignment vertical="center"/>
    </xf>
    <xf numFmtId="3" fontId="12" fillId="0" borderId="13" xfId="1" applyNumberFormat="1" applyFont="1" applyBorder="1" applyAlignment="1">
      <alignment vertical="center"/>
    </xf>
    <xf numFmtId="168" fontId="12" fillId="0" borderId="18" xfId="1" applyNumberFormat="1" applyFont="1" applyBorder="1" applyAlignment="1">
      <alignment vertical="center"/>
    </xf>
    <xf numFmtId="168" fontId="12" fillId="0" borderId="19" xfId="1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165" fontId="15" fillId="0" borderId="0" xfId="0" applyNumberFormat="1" applyFont="1" applyAlignment="1">
      <alignment horizontal="left" vertical="center"/>
    </xf>
    <xf numFmtId="0" fontId="15" fillId="0" borderId="0" xfId="0" applyFont="1" applyAlignment="1">
      <alignment vertical="center"/>
    </xf>
    <xf numFmtId="3" fontId="15" fillId="0" borderId="0" xfId="0" applyNumberFormat="1" applyFont="1" applyAlignment="1">
      <alignment vertical="center"/>
    </xf>
    <xf numFmtId="0" fontId="16" fillId="0" borderId="0" xfId="0" applyFont="1" applyAlignment="1">
      <alignment vertical="center"/>
    </xf>
    <xf numFmtId="168" fontId="16" fillId="0" borderId="0" xfId="0" applyNumberFormat="1" applyFont="1" applyAlignment="1">
      <alignment vertical="center"/>
    </xf>
    <xf numFmtId="168" fontId="12" fillId="13" borderId="1" xfId="1" applyNumberFormat="1" applyFont="1" applyFill="1" applyBorder="1" applyAlignment="1">
      <alignment horizontal="center" vertical="center"/>
    </xf>
    <xf numFmtId="168" fontId="12" fillId="13" borderId="2" xfId="1" applyNumberFormat="1" applyFont="1" applyFill="1" applyBorder="1" applyAlignment="1">
      <alignment horizontal="center" vertical="center"/>
    </xf>
    <xf numFmtId="168" fontId="12" fillId="13" borderId="3" xfId="1" applyNumberFormat="1" applyFont="1" applyFill="1" applyBorder="1" applyAlignment="1">
      <alignment horizontal="center" vertical="center"/>
    </xf>
    <xf numFmtId="3" fontId="12" fillId="13" borderId="4" xfId="1" applyNumberFormat="1" applyFont="1" applyFill="1" applyBorder="1" applyAlignment="1">
      <alignment horizontal="center" vertical="center" wrapText="1"/>
    </xf>
    <xf numFmtId="168" fontId="12" fillId="13" borderId="4" xfId="1" applyNumberFormat="1" applyFont="1" applyFill="1" applyBorder="1" applyAlignment="1">
      <alignment horizontal="center" vertical="center" wrapText="1"/>
    </xf>
    <xf numFmtId="168" fontId="12" fillId="13" borderId="4" xfId="1" applyNumberFormat="1" applyFont="1" applyFill="1" applyBorder="1" applyAlignment="1">
      <alignment horizontal="center" vertical="center"/>
    </xf>
    <xf numFmtId="168" fontId="12" fillId="13" borderId="5" xfId="1" applyNumberFormat="1" applyFont="1" applyFill="1" applyBorder="1" applyAlignment="1">
      <alignment horizontal="center" vertical="center"/>
    </xf>
    <xf numFmtId="168" fontId="12" fillId="13" borderId="6" xfId="1" applyNumberFormat="1" applyFont="1" applyFill="1" applyBorder="1" applyAlignment="1">
      <alignment horizontal="center" vertical="center" wrapText="1"/>
    </xf>
    <xf numFmtId="168" fontId="12" fillId="13" borderId="3" xfId="1" applyNumberFormat="1" applyFont="1" applyFill="1" applyBorder="1" applyAlignment="1">
      <alignment horizontal="center" vertical="center" wrapText="1"/>
    </xf>
    <xf numFmtId="168" fontId="12" fillId="15" borderId="6" xfId="1" applyNumberFormat="1" applyFont="1" applyFill="1" applyBorder="1" applyAlignment="1">
      <alignment horizontal="center" vertical="center" wrapText="1"/>
    </xf>
    <xf numFmtId="168" fontId="12" fillId="15" borderId="5" xfId="1" applyNumberFormat="1" applyFont="1" applyFill="1" applyBorder="1" applyAlignment="1">
      <alignment horizontal="center" vertical="center" wrapText="1"/>
    </xf>
    <xf numFmtId="168" fontId="12" fillId="14" borderId="24" xfId="1" applyNumberFormat="1" applyFont="1" applyFill="1" applyBorder="1" applyAlignment="1">
      <alignment vertical="center"/>
    </xf>
    <xf numFmtId="168" fontId="12" fillId="0" borderId="8" xfId="1" applyNumberFormat="1" applyFont="1" applyBorder="1" applyAlignment="1">
      <alignment vertical="center"/>
    </xf>
    <xf numFmtId="168" fontId="12" fillId="0" borderId="9" xfId="1" applyNumberFormat="1" applyFont="1" applyBorder="1" applyAlignment="1">
      <alignment vertical="center"/>
    </xf>
    <xf numFmtId="168" fontId="12" fillId="0" borderId="10" xfId="1" applyNumberFormat="1" applyFont="1" applyBorder="1" applyAlignment="1">
      <alignment vertical="center"/>
    </xf>
    <xf numFmtId="168" fontId="12" fillId="0" borderId="12" xfId="1" applyNumberFormat="1" applyFont="1" applyBorder="1" applyAlignment="1">
      <alignment vertical="center"/>
    </xf>
    <xf numFmtId="170" fontId="16" fillId="0" borderId="13" xfId="0" applyNumberFormat="1" applyFont="1" applyBorder="1" applyAlignment="1">
      <alignment vertical="center"/>
    </xf>
    <xf numFmtId="168" fontId="17" fillId="0" borderId="10" xfId="0" applyNumberFormat="1" applyFont="1" applyBorder="1" applyAlignment="1">
      <alignment vertical="center"/>
    </xf>
    <xf numFmtId="168" fontId="12" fillId="14" borderId="8" xfId="1" applyNumberFormat="1" applyFont="1" applyFill="1" applyBorder="1" applyAlignment="1">
      <alignment vertical="center"/>
    </xf>
    <xf numFmtId="168" fontId="12" fillId="16" borderId="17" xfId="1" applyNumberFormat="1" applyFont="1" applyFill="1" applyBorder="1" applyAlignment="1">
      <alignment vertical="center"/>
    </xf>
    <xf numFmtId="168" fontId="12" fillId="0" borderId="17" xfId="1" applyNumberFormat="1" applyFont="1" applyBorder="1" applyAlignment="1">
      <alignment vertical="center"/>
    </xf>
    <xf numFmtId="3" fontId="16" fillId="0" borderId="0" xfId="0" applyNumberFormat="1" applyFont="1" applyAlignment="1">
      <alignment vertical="center"/>
    </xf>
    <xf numFmtId="0" fontId="14" fillId="0" borderId="20" xfId="0" applyFont="1" applyBorder="1" applyAlignment="1">
      <alignment horizontal="center" vertical="center"/>
    </xf>
    <xf numFmtId="3" fontId="18" fillId="0" borderId="13" xfId="0" applyNumberFormat="1" applyFont="1" applyBorder="1" applyAlignment="1">
      <alignment horizontal="center" vertical="center"/>
    </xf>
    <xf numFmtId="168" fontId="12" fillId="0" borderId="7" xfId="1" applyNumberFormat="1" applyFont="1" applyBorder="1" applyAlignment="1">
      <alignment vertical="center"/>
    </xf>
    <xf numFmtId="168" fontId="12" fillId="0" borderId="24" xfId="1" applyNumberFormat="1" applyFont="1" applyBorder="1" applyAlignment="1">
      <alignment vertical="center"/>
    </xf>
    <xf numFmtId="168" fontId="12" fillId="0" borderId="16" xfId="1" applyNumberFormat="1" applyFont="1" applyBorder="1" applyAlignment="1">
      <alignment vertical="center"/>
    </xf>
    <xf numFmtId="168" fontId="12" fillId="0" borderId="15" xfId="1" applyNumberFormat="1" applyFont="1" applyBorder="1" applyAlignment="1">
      <alignment vertical="center"/>
    </xf>
    <xf numFmtId="168" fontId="12" fillId="18" borderId="8" xfId="1" applyNumberFormat="1" applyFont="1" applyFill="1" applyBorder="1" applyAlignment="1">
      <alignment vertical="center"/>
    </xf>
    <xf numFmtId="168" fontId="12" fillId="18" borderId="9" xfId="1" applyNumberFormat="1" applyFont="1" applyFill="1" applyBorder="1" applyAlignment="1">
      <alignment vertical="center"/>
    </xf>
    <xf numFmtId="168" fontId="12" fillId="18" borderId="10" xfId="1" applyNumberFormat="1" applyFont="1" applyFill="1" applyBorder="1" applyAlignment="1">
      <alignment vertical="center"/>
    </xf>
    <xf numFmtId="168" fontId="12" fillId="18" borderId="12" xfId="1" applyNumberFormat="1" applyFont="1" applyFill="1" applyBorder="1" applyAlignment="1">
      <alignment vertical="center"/>
    </xf>
    <xf numFmtId="169" fontId="12" fillId="18" borderId="11" xfId="1" applyNumberFormat="1" applyFont="1" applyFill="1" applyBorder="1" applyAlignment="1">
      <alignment vertical="center"/>
    </xf>
    <xf numFmtId="168" fontId="17" fillId="18" borderId="10" xfId="0" applyNumberFormat="1" applyFont="1" applyFill="1" applyBorder="1" applyAlignment="1">
      <alignment vertical="center"/>
    </xf>
    <xf numFmtId="168" fontId="12" fillId="18" borderId="14" xfId="1" applyNumberFormat="1" applyFont="1" applyFill="1" applyBorder="1" applyAlignment="1">
      <alignment vertical="center"/>
    </xf>
    <xf numFmtId="0" fontId="14" fillId="17" borderId="0" xfId="0" applyFont="1" applyFill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0" fontId="0" fillId="7" borderId="13" xfId="0" applyFont="1" applyFill="1" applyBorder="1" applyAlignment="1" applyProtection="1">
      <alignment horizontal="center"/>
    </xf>
    <xf numFmtId="0" fontId="0" fillId="3" borderId="13" xfId="0" applyFont="1" applyFill="1" applyBorder="1" applyAlignment="1" applyProtection="1">
      <alignment horizontal="center"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FAADC"/>
      <rgbColor rgb="FF993366"/>
      <rgbColor rgb="FFFFF2CC"/>
      <rgbColor rgb="FFDAE3F3"/>
      <rgbColor rgb="FF660066"/>
      <rgbColor rgb="FFFF8080"/>
      <rgbColor rgb="FF0066CC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D18E"/>
      <rgbColor rgb="FFFF99CC"/>
      <rgbColor rgb="FFCC99FF"/>
      <rgbColor rgb="FFF4B183"/>
      <rgbColor rgb="FF3366FF"/>
      <rgbColor rgb="FF33CCCC"/>
      <rgbColor rgb="FF99CC00"/>
      <rgbColor rgb="FFFFC000"/>
      <rgbColor rgb="FFFF9900"/>
      <rgbColor rgb="FFFF6600"/>
      <rgbColor rgb="FF666699"/>
      <rgbColor rgb="FF70AD47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A7437-5A52-48E7-9EB0-A92731DC8BA1}">
  <sheetPr>
    <tabColor rgb="FF70AD47"/>
  </sheetPr>
  <dimension ref="A1:P34"/>
  <sheetViews>
    <sheetView workbookViewId="0">
      <pane xSplit="1" topLeftCell="E1" activePane="topRight" state="frozen"/>
      <selection pane="topRight" activeCell="G19" sqref="G19"/>
    </sheetView>
  </sheetViews>
  <sheetFormatPr baseColWidth="10" defaultColWidth="13.5546875" defaultRowHeight="10.199999999999999" x14ac:dyDescent="0.3"/>
  <cols>
    <col min="1" max="1" width="36.109375" style="84" customWidth="1"/>
    <col min="2" max="2" width="13.33203125" style="84" customWidth="1"/>
    <col min="3" max="3" width="18.5546875" style="84" customWidth="1"/>
    <col min="4" max="4" width="21.5546875" style="84" customWidth="1"/>
    <col min="5" max="5" width="11.5546875" style="84" customWidth="1"/>
    <col min="6" max="6" width="11.109375" style="84" customWidth="1"/>
    <col min="7" max="7" width="13.5546875" style="84"/>
    <col min="8" max="8" width="16.109375" style="84" customWidth="1"/>
    <col min="9" max="9" width="10.88671875" style="84" customWidth="1"/>
    <col min="10" max="10" width="11.6640625" style="84" customWidth="1"/>
    <col min="11" max="11" width="10.44140625" style="84" customWidth="1"/>
    <col min="12" max="12" width="11.109375" style="84" customWidth="1"/>
    <col min="13" max="14" width="13.5546875" style="84"/>
    <col min="15" max="15" width="13.5546875" style="58"/>
    <col min="16" max="16384" width="13.5546875" style="84"/>
  </cols>
  <sheetData>
    <row r="1" spans="1:16" x14ac:dyDescent="0.3">
      <c r="A1" s="82"/>
      <c r="B1" s="82"/>
      <c r="C1" s="82"/>
      <c r="D1" s="82"/>
      <c r="E1" s="82"/>
      <c r="F1" s="82"/>
      <c r="G1" s="82"/>
      <c r="H1" s="82"/>
      <c r="I1" s="82"/>
    </row>
    <row r="2" spans="1:16" x14ac:dyDescent="0.3">
      <c r="A2" s="82"/>
      <c r="B2" s="82"/>
      <c r="C2" s="82"/>
      <c r="D2" s="82"/>
      <c r="E2" s="82"/>
      <c r="F2" s="82"/>
      <c r="G2" s="121" t="s">
        <v>134</v>
      </c>
      <c r="H2" s="121"/>
      <c r="I2" s="121"/>
    </row>
    <row r="3" spans="1:16" x14ac:dyDescent="0.3">
      <c r="A3" s="82"/>
      <c r="B3" s="82"/>
      <c r="C3" s="82"/>
      <c r="D3" s="82"/>
      <c r="E3" s="82"/>
      <c r="F3" s="82"/>
      <c r="G3" s="82"/>
      <c r="H3" s="82"/>
      <c r="I3" s="82"/>
    </row>
    <row r="4" spans="1:16" x14ac:dyDescent="0.3">
      <c r="A4" s="82"/>
      <c r="B4" s="82"/>
      <c r="C4" s="82"/>
      <c r="D4" s="82"/>
      <c r="E4" s="82"/>
      <c r="F4" s="82"/>
      <c r="G4" s="82"/>
      <c r="H4" s="82"/>
      <c r="I4" s="82"/>
    </row>
    <row r="5" spans="1:16" ht="10.8" thickBot="1" x14ac:dyDescent="0.35">
      <c r="A5" s="80" t="s">
        <v>149</v>
      </c>
      <c r="B5" s="80"/>
      <c r="C5" s="80"/>
      <c r="D5" s="82"/>
      <c r="E5" s="82"/>
      <c r="F5" s="82"/>
      <c r="G5" s="82"/>
      <c r="H5" s="81">
        <v>46143</v>
      </c>
      <c r="I5" s="81"/>
    </row>
    <row r="6" spans="1:16" ht="21" thickBot="1" x14ac:dyDescent="0.35">
      <c r="A6" s="86" t="s">
        <v>3</v>
      </c>
      <c r="B6" s="87" t="s">
        <v>4</v>
      </c>
      <c r="C6" s="87" t="s">
        <v>5</v>
      </c>
      <c r="D6" s="88" t="s">
        <v>6</v>
      </c>
      <c r="E6" s="90" t="s">
        <v>7</v>
      </c>
      <c r="F6" s="90" t="s">
        <v>8</v>
      </c>
      <c r="G6" s="91" t="s">
        <v>9</v>
      </c>
      <c r="H6" s="92" t="s">
        <v>10</v>
      </c>
      <c r="I6" s="93" t="s">
        <v>11</v>
      </c>
      <c r="J6" s="93" t="s">
        <v>150</v>
      </c>
      <c r="K6" s="94" t="s">
        <v>136</v>
      </c>
      <c r="L6" s="90" t="s">
        <v>14</v>
      </c>
      <c r="M6" s="71" t="s">
        <v>137</v>
      </c>
      <c r="N6" s="95" t="s">
        <v>16</v>
      </c>
      <c r="O6" s="96" t="s">
        <v>151</v>
      </c>
      <c r="P6" s="21" t="s">
        <v>19</v>
      </c>
    </row>
    <row r="7" spans="1:16" ht="14.4" thickBot="1" x14ac:dyDescent="0.35">
      <c r="A7" s="63" t="s">
        <v>24</v>
      </c>
      <c r="B7" s="111" t="s">
        <v>21</v>
      </c>
      <c r="C7" s="98" t="s">
        <v>22</v>
      </c>
      <c r="D7" s="99" t="s">
        <v>23</v>
      </c>
      <c r="E7" s="100">
        <v>140000</v>
      </c>
      <c r="F7" s="68">
        <v>144</v>
      </c>
      <c r="G7" s="100">
        <f t="shared" ref="G7:G32" si="0">E7/F7</f>
        <v>972.22222222222217</v>
      </c>
      <c r="H7" s="101">
        <f t="shared" ref="H7:H32" si="1">G7*J7</f>
        <v>121527.77777777777</v>
      </c>
      <c r="I7" s="100">
        <f t="shared" ref="I7:I32" si="2">ROUNDDOWN(H7,-1)</f>
        <v>121520</v>
      </c>
      <c r="J7" s="69">
        <v>125</v>
      </c>
      <c r="K7" s="102">
        <f>F7-J7</f>
        <v>19</v>
      </c>
      <c r="L7" s="103">
        <f>H7-E7</f>
        <v>-18472.222222222234</v>
      </c>
      <c r="M7" s="70">
        <v>40000</v>
      </c>
      <c r="N7" s="78">
        <v>0</v>
      </c>
      <c r="O7" s="101">
        <f>H7+M7</f>
        <v>161527.77777777775</v>
      </c>
      <c r="P7" s="60" t="s">
        <v>74</v>
      </c>
    </row>
    <row r="8" spans="1:16" ht="14.4" thickBot="1" x14ac:dyDescent="0.35">
      <c r="A8" s="110" t="s">
        <v>139</v>
      </c>
      <c r="B8" s="98" t="s">
        <v>21</v>
      </c>
      <c r="C8" s="98" t="s">
        <v>22</v>
      </c>
      <c r="D8" s="99" t="s">
        <v>23</v>
      </c>
      <c r="E8" s="100">
        <v>140000</v>
      </c>
      <c r="F8" s="68">
        <v>144</v>
      </c>
      <c r="G8" s="100">
        <f t="shared" si="0"/>
        <v>972.22222222222217</v>
      </c>
      <c r="H8" s="101">
        <f t="shared" si="1"/>
        <v>121722.22222222222</v>
      </c>
      <c r="I8" s="100">
        <f t="shared" si="2"/>
        <v>121720</v>
      </c>
      <c r="J8" s="69">
        <v>125.2</v>
      </c>
      <c r="K8" s="102">
        <f>F8-J8</f>
        <v>18.799999999999997</v>
      </c>
      <c r="L8" s="103">
        <f>H8-E8</f>
        <v>-18277.777777777781</v>
      </c>
      <c r="M8" s="70">
        <v>40000</v>
      </c>
      <c r="N8" s="78">
        <v>0</v>
      </c>
      <c r="O8" s="101">
        <f>H8+M8</f>
        <v>161722.22222222222</v>
      </c>
      <c r="P8" s="60" t="s">
        <v>75</v>
      </c>
    </row>
    <row r="9" spans="1:16" ht="14.4" thickBot="1" x14ac:dyDescent="0.35">
      <c r="A9" s="110" t="s">
        <v>140</v>
      </c>
      <c r="B9" s="98" t="s">
        <v>21</v>
      </c>
      <c r="C9" s="98" t="s">
        <v>22</v>
      </c>
      <c r="D9" s="99" t="s">
        <v>23</v>
      </c>
      <c r="E9" s="112">
        <v>120000</v>
      </c>
      <c r="F9" s="68">
        <v>144</v>
      </c>
      <c r="G9" s="100">
        <f t="shared" si="0"/>
        <v>833.33333333333337</v>
      </c>
      <c r="H9" s="101">
        <f t="shared" si="1"/>
        <v>105083.33333333333</v>
      </c>
      <c r="I9" s="100">
        <f t="shared" si="2"/>
        <v>105080</v>
      </c>
      <c r="J9" s="69">
        <v>126.1</v>
      </c>
      <c r="K9" s="102">
        <f>F9-J9</f>
        <v>17.900000000000006</v>
      </c>
      <c r="L9" s="103">
        <f>H9-E9</f>
        <v>-14916.666666666672</v>
      </c>
      <c r="M9" s="70">
        <v>0</v>
      </c>
      <c r="N9" s="78">
        <v>0</v>
      </c>
      <c r="O9" s="101"/>
      <c r="P9" s="60" t="s">
        <v>145</v>
      </c>
    </row>
    <row r="10" spans="1:16" ht="14.4" thickBot="1" x14ac:dyDescent="0.35">
      <c r="A10" s="110" t="s">
        <v>141</v>
      </c>
      <c r="B10" s="98" t="s">
        <v>21</v>
      </c>
      <c r="C10" s="98" t="s">
        <v>22</v>
      </c>
      <c r="D10" s="99" t="s">
        <v>23</v>
      </c>
      <c r="E10" s="100">
        <v>140000</v>
      </c>
      <c r="F10" s="68">
        <v>144</v>
      </c>
      <c r="G10" s="100">
        <f t="shared" si="0"/>
        <v>972.22222222222217</v>
      </c>
      <c r="H10" s="101">
        <f t="shared" si="1"/>
        <v>23138.888888888887</v>
      </c>
      <c r="I10" s="100">
        <f t="shared" si="2"/>
        <v>23130</v>
      </c>
      <c r="J10" s="69">
        <v>23.8</v>
      </c>
      <c r="K10" s="102">
        <v>0.6</v>
      </c>
      <c r="L10" s="103">
        <f>H10-E10</f>
        <v>-116861.11111111111</v>
      </c>
      <c r="M10" s="70">
        <v>22750</v>
      </c>
      <c r="N10" s="78">
        <v>0</v>
      </c>
      <c r="O10" s="101">
        <f t="shared" ref="O10:O32" si="3">H10+M10</f>
        <v>45888.888888888891</v>
      </c>
      <c r="P10" s="60" t="s">
        <v>112</v>
      </c>
    </row>
    <row r="11" spans="1:16" ht="15" thickTop="1" thickBot="1" x14ac:dyDescent="0.35">
      <c r="A11" s="110" t="s">
        <v>33</v>
      </c>
      <c r="B11" s="114" t="s">
        <v>152</v>
      </c>
      <c r="C11" s="114" t="s">
        <v>22</v>
      </c>
      <c r="D11" s="115" t="s">
        <v>23</v>
      </c>
      <c r="E11" s="116">
        <v>140000</v>
      </c>
      <c r="F11" s="68">
        <v>168</v>
      </c>
      <c r="G11" s="116">
        <f t="shared" si="0"/>
        <v>833.33333333333337</v>
      </c>
      <c r="H11" s="117">
        <f t="shared" si="1"/>
        <v>52000</v>
      </c>
      <c r="I11" s="116">
        <f t="shared" si="2"/>
        <v>52000</v>
      </c>
      <c r="J11" s="118">
        <v>62.4</v>
      </c>
      <c r="K11" s="102">
        <f t="shared" ref="K11:K32" si="4">F11-J11</f>
        <v>105.6</v>
      </c>
      <c r="L11" s="119">
        <f>H11-E11</f>
        <v>-88000</v>
      </c>
      <c r="M11" s="120">
        <v>0</v>
      </c>
      <c r="N11" s="78">
        <v>0</v>
      </c>
      <c r="O11" s="117">
        <f t="shared" si="3"/>
        <v>52000</v>
      </c>
      <c r="P11" s="61" t="s">
        <v>100</v>
      </c>
    </row>
    <row r="12" spans="1:16" ht="14.4" thickBot="1" x14ac:dyDescent="0.35">
      <c r="A12" s="113" t="s">
        <v>123</v>
      </c>
      <c r="B12" s="106" t="s">
        <v>152</v>
      </c>
      <c r="C12" s="98" t="s">
        <v>22</v>
      </c>
      <c r="D12" s="99" t="s">
        <v>23</v>
      </c>
      <c r="E12" s="112">
        <v>120000</v>
      </c>
      <c r="F12" s="68">
        <v>168</v>
      </c>
      <c r="G12" s="100">
        <f t="shared" si="0"/>
        <v>714.28571428571433</v>
      </c>
      <c r="H12" s="101">
        <f t="shared" si="1"/>
        <v>86078.571428571435</v>
      </c>
      <c r="I12" s="100">
        <f t="shared" si="2"/>
        <v>86070</v>
      </c>
      <c r="J12" s="69">
        <v>120.50999999999999</v>
      </c>
      <c r="K12" s="102">
        <f t="shared" si="4"/>
        <v>47.490000000000009</v>
      </c>
      <c r="L12" s="103">
        <f t="shared" ref="L12:L32" si="5">H12-E12</f>
        <v>-33921.428571428565</v>
      </c>
      <c r="M12" s="78">
        <v>0</v>
      </c>
      <c r="N12" s="78">
        <v>0</v>
      </c>
      <c r="O12" s="101">
        <f t="shared" si="3"/>
        <v>86078.571428571435</v>
      </c>
      <c r="P12" s="60" t="s">
        <v>82</v>
      </c>
    </row>
    <row r="13" spans="1:16" ht="14.4" thickBot="1" x14ac:dyDescent="0.35">
      <c r="A13" s="113" t="s">
        <v>43</v>
      </c>
      <c r="B13" s="106" t="s">
        <v>152</v>
      </c>
      <c r="C13" s="98" t="s">
        <v>22</v>
      </c>
      <c r="D13" s="99" t="s">
        <v>23</v>
      </c>
      <c r="E13" s="112">
        <v>120000</v>
      </c>
      <c r="F13" s="68">
        <v>168</v>
      </c>
      <c r="G13" s="100">
        <f t="shared" si="0"/>
        <v>714.28571428571433</v>
      </c>
      <c r="H13" s="101">
        <f t="shared" si="1"/>
        <v>88671.42857142858</v>
      </c>
      <c r="I13" s="100">
        <f t="shared" si="2"/>
        <v>88670</v>
      </c>
      <c r="J13" s="69">
        <v>124.14</v>
      </c>
      <c r="K13" s="102">
        <f t="shared" si="4"/>
        <v>43.86</v>
      </c>
      <c r="L13" s="103">
        <f t="shared" si="5"/>
        <v>-31328.57142857142</v>
      </c>
      <c r="M13" s="78">
        <v>0</v>
      </c>
      <c r="N13" s="78">
        <v>0</v>
      </c>
      <c r="O13" s="101">
        <f t="shared" si="3"/>
        <v>88671.42857142858</v>
      </c>
      <c r="P13" s="60" t="s">
        <v>88</v>
      </c>
    </row>
    <row r="14" spans="1:16" ht="14.4" thickBot="1" x14ac:dyDescent="0.35">
      <c r="A14" s="113" t="s">
        <v>44</v>
      </c>
      <c r="B14" s="106" t="s">
        <v>152</v>
      </c>
      <c r="C14" s="98" t="s">
        <v>22</v>
      </c>
      <c r="D14" s="99" t="s">
        <v>23</v>
      </c>
      <c r="E14" s="112">
        <v>120000</v>
      </c>
      <c r="F14" s="68">
        <v>168</v>
      </c>
      <c r="G14" s="100">
        <f t="shared" si="0"/>
        <v>714.28571428571433</v>
      </c>
      <c r="H14" s="101">
        <f t="shared" si="1"/>
        <v>85714.285714285725</v>
      </c>
      <c r="I14" s="100">
        <f t="shared" si="2"/>
        <v>85710</v>
      </c>
      <c r="J14" s="69">
        <v>120</v>
      </c>
      <c r="K14" s="102">
        <f t="shared" si="4"/>
        <v>48</v>
      </c>
      <c r="L14" s="103">
        <f t="shared" si="5"/>
        <v>-34285.714285714275</v>
      </c>
      <c r="M14" s="78">
        <v>0</v>
      </c>
      <c r="N14" s="78">
        <v>0</v>
      </c>
      <c r="O14" s="101">
        <f t="shared" si="3"/>
        <v>85714.285714285725</v>
      </c>
      <c r="P14" s="62" t="s">
        <v>89</v>
      </c>
    </row>
    <row r="15" spans="1:16" ht="14.4" thickBot="1" x14ac:dyDescent="0.35">
      <c r="A15" s="74" t="s">
        <v>52</v>
      </c>
      <c r="B15" s="106" t="s">
        <v>152</v>
      </c>
      <c r="C15" s="98" t="s">
        <v>22</v>
      </c>
      <c r="D15" s="99" t="s">
        <v>23</v>
      </c>
      <c r="E15" s="112">
        <v>120000</v>
      </c>
      <c r="F15" s="68">
        <v>168</v>
      </c>
      <c r="G15" s="100">
        <f t="shared" si="0"/>
        <v>714.28571428571433</v>
      </c>
      <c r="H15" s="101">
        <f t="shared" si="1"/>
        <v>91300</v>
      </c>
      <c r="I15" s="100">
        <f t="shared" si="2"/>
        <v>91300</v>
      </c>
      <c r="J15" s="69">
        <v>127.82</v>
      </c>
      <c r="K15" s="102">
        <f t="shared" si="4"/>
        <v>40.180000000000007</v>
      </c>
      <c r="L15" s="103">
        <f t="shared" si="5"/>
        <v>-28700</v>
      </c>
      <c r="M15" s="78">
        <v>0</v>
      </c>
      <c r="N15" s="78">
        <v>0</v>
      </c>
      <c r="O15" s="101">
        <f t="shared" si="3"/>
        <v>91300</v>
      </c>
      <c r="P15" s="62" t="s">
        <v>102</v>
      </c>
    </row>
    <row r="16" spans="1:16" ht="14.4" thickBot="1" x14ac:dyDescent="0.35">
      <c r="A16" s="113" t="s">
        <v>142</v>
      </c>
      <c r="B16" s="106" t="s">
        <v>31</v>
      </c>
      <c r="C16" s="106" t="s">
        <v>32</v>
      </c>
      <c r="D16" s="99" t="s">
        <v>23</v>
      </c>
      <c r="E16" s="112">
        <v>120000</v>
      </c>
      <c r="F16" s="68">
        <v>168</v>
      </c>
      <c r="G16" s="100">
        <f t="shared" si="0"/>
        <v>714.28571428571433</v>
      </c>
      <c r="H16" s="101">
        <f t="shared" si="1"/>
        <v>85714.285714285725</v>
      </c>
      <c r="I16" s="100">
        <f t="shared" si="2"/>
        <v>85710</v>
      </c>
      <c r="J16" s="69">
        <v>120</v>
      </c>
      <c r="K16" s="102">
        <f t="shared" si="4"/>
        <v>48</v>
      </c>
      <c r="L16" s="103">
        <f t="shared" si="5"/>
        <v>-34285.714285714275</v>
      </c>
      <c r="M16" s="78">
        <v>0</v>
      </c>
      <c r="N16" s="78">
        <v>0</v>
      </c>
      <c r="O16" s="101">
        <f t="shared" si="3"/>
        <v>85714.285714285725</v>
      </c>
      <c r="P16" s="62" t="s">
        <v>146</v>
      </c>
    </row>
    <row r="17" spans="1:16" ht="14.4" thickBot="1" x14ac:dyDescent="0.35">
      <c r="A17" s="113" t="s">
        <v>39</v>
      </c>
      <c r="B17" s="106" t="s">
        <v>31</v>
      </c>
      <c r="C17" s="106" t="s">
        <v>32</v>
      </c>
      <c r="D17" s="99" t="s">
        <v>23</v>
      </c>
      <c r="E17" s="112">
        <v>120000</v>
      </c>
      <c r="F17" s="68">
        <v>168</v>
      </c>
      <c r="G17" s="100">
        <f t="shared" si="0"/>
        <v>714.28571428571433</v>
      </c>
      <c r="H17" s="101">
        <f t="shared" si="1"/>
        <v>91428.571428571435</v>
      </c>
      <c r="I17" s="100">
        <f t="shared" si="2"/>
        <v>91420</v>
      </c>
      <c r="J17" s="69">
        <v>128</v>
      </c>
      <c r="K17" s="102">
        <f t="shared" si="4"/>
        <v>40</v>
      </c>
      <c r="L17" s="103">
        <f t="shared" si="5"/>
        <v>-28571.428571428565</v>
      </c>
      <c r="M17" s="78">
        <v>0</v>
      </c>
      <c r="N17" s="78">
        <v>0</v>
      </c>
      <c r="O17" s="101">
        <f t="shared" si="3"/>
        <v>91428.571428571435</v>
      </c>
      <c r="P17" s="62" t="s">
        <v>85</v>
      </c>
    </row>
    <row r="18" spans="1:16" ht="14.4" thickBot="1" x14ac:dyDescent="0.35">
      <c r="A18" s="113" t="s">
        <v>143</v>
      </c>
      <c r="B18" s="106" t="s">
        <v>31</v>
      </c>
      <c r="C18" s="106" t="s">
        <v>32</v>
      </c>
      <c r="D18" s="99" t="s">
        <v>23</v>
      </c>
      <c r="E18" s="112">
        <v>120000</v>
      </c>
      <c r="F18" s="68">
        <v>168</v>
      </c>
      <c r="G18" s="100">
        <f t="shared" si="0"/>
        <v>714.28571428571433</v>
      </c>
      <c r="H18" s="101">
        <f t="shared" si="1"/>
        <v>80000</v>
      </c>
      <c r="I18" s="100">
        <f t="shared" si="2"/>
        <v>80000</v>
      </c>
      <c r="J18" s="69">
        <v>112</v>
      </c>
      <c r="K18" s="102">
        <f t="shared" si="4"/>
        <v>56</v>
      </c>
      <c r="L18" s="103">
        <f t="shared" si="5"/>
        <v>-40000</v>
      </c>
      <c r="M18" s="78">
        <v>0</v>
      </c>
      <c r="N18" s="78">
        <v>0</v>
      </c>
      <c r="O18" s="101">
        <f t="shared" si="3"/>
        <v>80000</v>
      </c>
      <c r="P18" s="62" t="s">
        <v>147</v>
      </c>
    </row>
    <row r="19" spans="1:16" ht="14.4" thickBot="1" x14ac:dyDescent="0.35">
      <c r="A19" s="113" t="s">
        <v>48</v>
      </c>
      <c r="B19" s="106" t="s">
        <v>31</v>
      </c>
      <c r="C19" s="106" t="s">
        <v>32</v>
      </c>
      <c r="D19" s="99" t="s">
        <v>23</v>
      </c>
      <c r="E19" s="112">
        <v>120000</v>
      </c>
      <c r="F19" s="68">
        <v>168</v>
      </c>
      <c r="G19" s="100">
        <f t="shared" si="0"/>
        <v>714.28571428571433</v>
      </c>
      <c r="H19" s="101">
        <f t="shared" si="1"/>
        <v>85714.285714285725</v>
      </c>
      <c r="I19" s="100">
        <f t="shared" si="2"/>
        <v>85710</v>
      </c>
      <c r="J19" s="69">
        <v>120</v>
      </c>
      <c r="K19" s="102">
        <f t="shared" si="4"/>
        <v>48</v>
      </c>
      <c r="L19" s="103">
        <f t="shared" si="5"/>
        <v>-34285.714285714275</v>
      </c>
      <c r="M19" s="78">
        <v>0</v>
      </c>
      <c r="N19" s="78">
        <v>0</v>
      </c>
      <c r="O19" s="101">
        <f t="shared" si="3"/>
        <v>85714.285714285725</v>
      </c>
      <c r="P19" s="62" t="s">
        <v>93</v>
      </c>
    </row>
    <row r="20" spans="1:16" ht="14.4" thickBot="1" x14ac:dyDescent="0.35">
      <c r="A20" s="113" t="s">
        <v>47</v>
      </c>
      <c r="B20" s="106" t="s">
        <v>31</v>
      </c>
      <c r="C20" s="106" t="s">
        <v>32</v>
      </c>
      <c r="D20" s="99" t="s">
        <v>23</v>
      </c>
      <c r="E20" s="112">
        <v>120000</v>
      </c>
      <c r="F20" s="68">
        <v>168</v>
      </c>
      <c r="G20" s="100">
        <f t="shared" si="0"/>
        <v>714.28571428571433</v>
      </c>
      <c r="H20" s="101">
        <f t="shared" si="1"/>
        <v>91428.571428571435</v>
      </c>
      <c r="I20" s="100">
        <f t="shared" si="2"/>
        <v>91420</v>
      </c>
      <c r="J20" s="69">
        <v>128</v>
      </c>
      <c r="K20" s="102">
        <f t="shared" si="4"/>
        <v>40</v>
      </c>
      <c r="L20" s="103">
        <f t="shared" si="5"/>
        <v>-28571.428571428565</v>
      </c>
      <c r="M20" s="78">
        <v>0</v>
      </c>
      <c r="N20" s="78">
        <v>0</v>
      </c>
      <c r="O20" s="101">
        <f t="shared" si="3"/>
        <v>91428.571428571435</v>
      </c>
      <c r="P20" s="62" t="s">
        <v>92</v>
      </c>
    </row>
    <row r="21" spans="1:16" ht="14.4" thickBot="1" x14ac:dyDescent="0.35">
      <c r="A21" s="113" t="s">
        <v>42</v>
      </c>
      <c r="B21" s="106" t="s">
        <v>31</v>
      </c>
      <c r="C21" s="106" t="s">
        <v>32</v>
      </c>
      <c r="D21" s="99" t="s">
        <v>23</v>
      </c>
      <c r="E21" s="112">
        <v>120000</v>
      </c>
      <c r="F21" s="68">
        <v>168</v>
      </c>
      <c r="G21" s="100">
        <f t="shared" si="0"/>
        <v>714.28571428571433</v>
      </c>
      <c r="H21" s="101">
        <f t="shared" si="1"/>
        <v>91428.571428571435</v>
      </c>
      <c r="I21" s="100">
        <f t="shared" si="2"/>
        <v>91420</v>
      </c>
      <c r="J21" s="69">
        <v>128</v>
      </c>
      <c r="K21" s="102">
        <f t="shared" si="4"/>
        <v>40</v>
      </c>
      <c r="L21" s="103">
        <f t="shared" si="5"/>
        <v>-28571.428571428565</v>
      </c>
      <c r="M21" s="78">
        <v>0</v>
      </c>
      <c r="N21" s="78">
        <v>0</v>
      </c>
      <c r="O21" s="101">
        <f t="shared" si="3"/>
        <v>91428.571428571435</v>
      </c>
      <c r="P21" s="62" t="s">
        <v>87</v>
      </c>
    </row>
    <row r="22" spans="1:16" ht="14.4" thickBot="1" x14ac:dyDescent="0.35">
      <c r="A22" s="113" t="s">
        <v>144</v>
      </c>
      <c r="B22" s="106" t="s">
        <v>31</v>
      </c>
      <c r="C22" s="106" t="s">
        <v>32</v>
      </c>
      <c r="D22" s="99" t="s">
        <v>23</v>
      </c>
      <c r="E22" s="112">
        <v>120000</v>
      </c>
      <c r="F22" s="68">
        <v>168</v>
      </c>
      <c r="G22" s="100">
        <f t="shared" si="0"/>
        <v>714.28571428571433</v>
      </c>
      <c r="H22" s="101">
        <f t="shared" si="1"/>
        <v>91428.571428571435</v>
      </c>
      <c r="I22" s="100">
        <f t="shared" si="2"/>
        <v>91420</v>
      </c>
      <c r="J22" s="69">
        <v>128</v>
      </c>
      <c r="K22" s="102">
        <f t="shared" si="4"/>
        <v>40</v>
      </c>
      <c r="L22" s="103">
        <f t="shared" si="5"/>
        <v>-28571.428571428565</v>
      </c>
      <c r="M22" s="78">
        <v>0</v>
      </c>
      <c r="N22" s="78">
        <v>0</v>
      </c>
      <c r="O22" s="101">
        <f t="shared" si="3"/>
        <v>91428.571428571435</v>
      </c>
      <c r="P22" s="62" t="s">
        <v>148</v>
      </c>
    </row>
    <row r="23" spans="1:16" ht="14.4" thickBot="1" x14ac:dyDescent="0.35">
      <c r="A23" s="113" t="s">
        <v>40</v>
      </c>
      <c r="B23" s="106" t="s">
        <v>31</v>
      </c>
      <c r="C23" s="106" t="s">
        <v>32</v>
      </c>
      <c r="D23" s="99" t="s">
        <v>23</v>
      </c>
      <c r="E23" s="112">
        <v>120000</v>
      </c>
      <c r="F23" s="68">
        <v>168</v>
      </c>
      <c r="G23" s="100">
        <f t="shared" si="0"/>
        <v>714.28571428571433</v>
      </c>
      <c r="H23" s="101">
        <f t="shared" si="1"/>
        <v>45714.285714285717</v>
      </c>
      <c r="I23" s="100">
        <f t="shared" si="2"/>
        <v>45710</v>
      </c>
      <c r="J23" s="69">
        <v>64</v>
      </c>
      <c r="K23" s="102">
        <f t="shared" si="4"/>
        <v>104</v>
      </c>
      <c r="L23" s="103">
        <f t="shared" si="5"/>
        <v>-74285.71428571429</v>
      </c>
      <c r="M23" s="78">
        <v>0</v>
      </c>
      <c r="N23" s="78">
        <v>0</v>
      </c>
      <c r="O23" s="101">
        <f t="shared" si="3"/>
        <v>45714.285714285717</v>
      </c>
      <c r="P23" s="62" t="s">
        <v>101</v>
      </c>
    </row>
    <row r="24" spans="1:16" ht="14.4" thickBot="1" x14ac:dyDescent="0.35">
      <c r="A24" s="113" t="s">
        <v>58</v>
      </c>
      <c r="B24" s="106" t="s">
        <v>31</v>
      </c>
      <c r="C24" s="106" t="s">
        <v>32</v>
      </c>
      <c r="D24" s="99" t="s">
        <v>23</v>
      </c>
      <c r="E24" s="112">
        <v>120000</v>
      </c>
      <c r="F24" s="68">
        <v>168</v>
      </c>
      <c r="G24" s="100">
        <f t="shared" si="0"/>
        <v>714.28571428571433</v>
      </c>
      <c r="H24" s="101">
        <f t="shared" si="1"/>
        <v>45714.285714285717</v>
      </c>
      <c r="I24" s="100">
        <f t="shared" si="2"/>
        <v>45710</v>
      </c>
      <c r="J24" s="69">
        <v>64</v>
      </c>
      <c r="K24" s="102">
        <f t="shared" si="4"/>
        <v>104</v>
      </c>
      <c r="L24" s="103">
        <f t="shared" si="5"/>
        <v>-74285.71428571429</v>
      </c>
      <c r="M24" s="78">
        <v>0</v>
      </c>
      <c r="N24" s="78">
        <v>0</v>
      </c>
      <c r="O24" s="101">
        <f t="shared" si="3"/>
        <v>45714.285714285717</v>
      </c>
      <c r="P24" s="62" t="s">
        <v>106</v>
      </c>
    </row>
    <row r="25" spans="1:16" ht="14.4" thickBot="1" x14ac:dyDescent="0.35">
      <c r="A25" s="74" t="s">
        <v>30</v>
      </c>
      <c r="B25" s="106" t="s">
        <v>31</v>
      </c>
      <c r="C25" s="106" t="s">
        <v>32</v>
      </c>
      <c r="D25" s="99" t="s">
        <v>23</v>
      </c>
      <c r="E25" s="112">
        <v>120000</v>
      </c>
      <c r="F25" s="68">
        <v>72</v>
      </c>
      <c r="G25" s="100">
        <f t="shared" si="0"/>
        <v>1666.6666666666667</v>
      </c>
      <c r="H25" s="101">
        <f t="shared" si="1"/>
        <v>106666.66666666667</v>
      </c>
      <c r="I25" s="100">
        <f t="shared" si="2"/>
        <v>106660</v>
      </c>
      <c r="J25" s="69">
        <v>64</v>
      </c>
      <c r="K25" s="102">
        <f t="shared" si="4"/>
        <v>8</v>
      </c>
      <c r="L25" s="103">
        <f t="shared" si="5"/>
        <v>-13333.333333333328</v>
      </c>
      <c r="M25" s="78">
        <v>0</v>
      </c>
      <c r="N25" s="78">
        <v>0</v>
      </c>
      <c r="O25" s="101">
        <f t="shared" si="3"/>
        <v>106666.66666666667</v>
      </c>
      <c r="P25" s="62" t="s">
        <v>79</v>
      </c>
    </row>
    <row r="26" spans="1:16" ht="14.4" thickBot="1" x14ac:dyDescent="0.35">
      <c r="A26" s="113" t="s">
        <v>124</v>
      </c>
      <c r="B26" s="106" t="s">
        <v>31</v>
      </c>
      <c r="C26" s="106" t="s">
        <v>32</v>
      </c>
      <c r="D26" s="99" t="s">
        <v>23</v>
      </c>
      <c r="E26" s="112">
        <v>120000</v>
      </c>
      <c r="F26" s="68">
        <v>72</v>
      </c>
      <c r="G26" s="100">
        <f t="shared" si="0"/>
        <v>1666.6666666666667</v>
      </c>
      <c r="H26" s="101">
        <f t="shared" si="1"/>
        <v>108333.33333333334</v>
      </c>
      <c r="I26" s="100">
        <f t="shared" si="2"/>
        <v>108330</v>
      </c>
      <c r="J26" s="69">
        <v>65</v>
      </c>
      <c r="K26" s="102">
        <f t="shared" si="4"/>
        <v>7</v>
      </c>
      <c r="L26" s="103">
        <f t="shared" si="5"/>
        <v>-11666.666666666657</v>
      </c>
      <c r="M26" s="78"/>
      <c r="N26" s="78">
        <v>0</v>
      </c>
      <c r="O26" s="101">
        <f t="shared" si="3"/>
        <v>108333.33333333334</v>
      </c>
      <c r="P26" s="62" t="s">
        <v>86</v>
      </c>
    </row>
    <row r="27" spans="1:16" ht="14.4" thickBot="1" x14ac:dyDescent="0.35">
      <c r="A27" s="113" t="s">
        <v>125</v>
      </c>
      <c r="B27" s="106" t="s">
        <v>31</v>
      </c>
      <c r="C27" s="106" t="s">
        <v>32</v>
      </c>
      <c r="D27" s="99" t="s">
        <v>23</v>
      </c>
      <c r="E27" s="112">
        <v>120000</v>
      </c>
      <c r="F27" s="68">
        <v>72</v>
      </c>
      <c r="G27" s="100">
        <f t="shared" si="0"/>
        <v>1666.6666666666667</v>
      </c>
      <c r="H27" s="101">
        <f t="shared" si="1"/>
        <v>110000</v>
      </c>
      <c r="I27" s="100">
        <f t="shared" si="2"/>
        <v>110000</v>
      </c>
      <c r="J27" s="69">
        <v>66</v>
      </c>
      <c r="K27" s="102">
        <f t="shared" si="4"/>
        <v>6</v>
      </c>
      <c r="L27" s="103">
        <f t="shared" si="5"/>
        <v>-10000</v>
      </c>
      <c r="M27" s="78"/>
      <c r="N27" s="78">
        <v>0</v>
      </c>
      <c r="O27" s="101">
        <f t="shared" si="3"/>
        <v>110000</v>
      </c>
      <c r="P27" s="62" t="s">
        <v>98</v>
      </c>
    </row>
    <row r="28" spans="1:16" ht="14.4" thickBot="1" x14ac:dyDescent="0.35">
      <c r="A28" s="113" t="s">
        <v>53</v>
      </c>
      <c r="B28" s="106" t="s">
        <v>31</v>
      </c>
      <c r="C28" s="106" t="s">
        <v>32</v>
      </c>
      <c r="D28" s="99" t="s">
        <v>23</v>
      </c>
      <c r="E28" s="112">
        <v>120000</v>
      </c>
      <c r="F28" s="68">
        <v>72</v>
      </c>
      <c r="G28" s="100">
        <f t="shared" si="0"/>
        <v>1666.6666666666667</v>
      </c>
      <c r="H28" s="101">
        <f t="shared" si="1"/>
        <v>111666.66666666667</v>
      </c>
      <c r="I28" s="100">
        <f t="shared" si="2"/>
        <v>111660</v>
      </c>
      <c r="J28" s="69">
        <v>67</v>
      </c>
      <c r="K28" s="102">
        <f t="shared" si="4"/>
        <v>5</v>
      </c>
      <c r="L28" s="103">
        <f t="shared" si="5"/>
        <v>-8333.3333333333285</v>
      </c>
      <c r="M28" s="78"/>
      <c r="N28" s="78">
        <v>0</v>
      </c>
      <c r="O28" s="101">
        <f t="shared" si="3"/>
        <v>111666.66666666667</v>
      </c>
      <c r="P28" s="62" t="s">
        <v>97</v>
      </c>
    </row>
    <row r="29" spans="1:16" ht="14.4" thickBot="1" x14ac:dyDescent="0.35">
      <c r="A29" s="74" t="s">
        <v>55</v>
      </c>
      <c r="B29" s="106" t="s">
        <v>31</v>
      </c>
      <c r="C29" s="106" t="s">
        <v>32</v>
      </c>
      <c r="D29" s="99" t="s">
        <v>23</v>
      </c>
      <c r="E29" s="112">
        <v>120000</v>
      </c>
      <c r="F29" s="68">
        <v>72</v>
      </c>
      <c r="G29" s="100">
        <f t="shared" si="0"/>
        <v>1666.6666666666667</v>
      </c>
      <c r="H29" s="101">
        <f t="shared" si="1"/>
        <v>113333.33333333334</v>
      </c>
      <c r="I29" s="100">
        <f t="shared" si="2"/>
        <v>113330</v>
      </c>
      <c r="J29" s="69">
        <v>68</v>
      </c>
      <c r="K29" s="102">
        <f t="shared" si="4"/>
        <v>4</v>
      </c>
      <c r="L29" s="103">
        <f t="shared" si="5"/>
        <v>-6666.666666666657</v>
      </c>
      <c r="M29" s="78"/>
      <c r="N29" s="78">
        <v>0</v>
      </c>
      <c r="O29" s="101">
        <f t="shared" si="3"/>
        <v>113333.33333333334</v>
      </c>
      <c r="P29" s="62" t="s">
        <v>99</v>
      </c>
    </row>
    <row r="30" spans="1:16" ht="14.4" thickBot="1" x14ac:dyDescent="0.35">
      <c r="A30" s="113" t="s">
        <v>128</v>
      </c>
      <c r="B30" s="106" t="s">
        <v>31</v>
      </c>
      <c r="C30" s="106" t="s">
        <v>32</v>
      </c>
      <c r="D30" s="99" t="s">
        <v>23</v>
      </c>
      <c r="E30" s="112">
        <v>120000</v>
      </c>
      <c r="F30" s="68">
        <v>72</v>
      </c>
      <c r="G30" s="100">
        <f t="shared" si="0"/>
        <v>1666.6666666666667</v>
      </c>
      <c r="H30" s="101">
        <f t="shared" si="1"/>
        <v>115000</v>
      </c>
      <c r="I30" s="100">
        <f t="shared" si="2"/>
        <v>115000</v>
      </c>
      <c r="J30" s="69">
        <v>69</v>
      </c>
      <c r="K30" s="102">
        <f t="shared" si="4"/>
        <v>3</v>
      </c>
      <c r="L30" s="103">
        <f t="shared" si="5"/>
        <v>-5000</v>
      </c>
      <c r="M30" s="78"/>
      <c r="N30" s="78">
        <v>0</v>
      </c>
      <c r="O30" s="101">
        <f t="shared" si="3"/>
        <v>115000</v>
      </c>
      <c r="P30" s="62" t="s">
        <v>105</v>
      </c>
    </row>
    <row r="31" spans="1:16" ht="14.4" thickBot="1" x14ac:dyDescent="0.35">
      <c r="A31" s="113" t="s">
        <v>129</v>
      </c>
      <c r="B31" s="106" t="s">
        <v>31</v>
      </c>
      <c r="C31" s="106" t="s">
        <v>32</v>
      </c>
      <c r="D31" s="99" t="s">
        <v>23</v>
      </c>
      <c r="E31" s="112">
        <v>120000</v>
      </c>
      <c r="F31" s="68">
        <v>72</v>
      </c>
      <c r="G31" s="100">
        <f t="shared" si="0"/>
        <v>1666.6666666666667</v>
      </c>
      <c r="H31" s="101">
        <f t="shared" si="1"/>
        <v>116666.66666666667</v>
      </c>
      <c r="I31" s="100">
        <f t="shared" si="2"/>
        <v>116660</v>
      </c>
      <c r="J31" s="69">
        <v>70</v>
      </c>
      <c r="K31" s="102">
        <f t="shared" si="4"/>
        <v>2</v>
      </c>
      <c r="L31" s="103">
        <f t="shared" si="5"/>
        <v>-3333.3333333333285</v>
      </c>
      <c r="M31" s="78"/>
      <c r="N31" s="78">
        <v>0</v>
      </c>
      <c r="O31" s="101">
        <f t="shared" si="3"/>
        <v>116666.66666666667</v>
      </c>
      <c r="P31" s="62" t="s">
        <v>107</v>
      </c>
    </row>
    <row r="32" spans="1:16" ht="14.4" thickBot="1" x14ac:dyDescent="0.35">
      <c r="A32" s="113" t="s">
        <v>130</v>
      </c>
      <c r="B32" s="106" t="s">
        <v>31</v>
      </c>
      <c r="C32" s="106" t="s">
        <v>32</v>
      </c>
      <c r="D32" s="99" t="s">
        <v>23</v>
      </c>
      <c r="E32" s="112">
        <v>120000</v>
      </c>
      <c r="F32" s="68">
        <v>72</v>
      </c>
      <c r="G32" s="100">
        <f t="shared" si="0"/>
        <v>1666.6666666666667</v>
      </c>
      <c r="H32" s="101">
        <f t="shared" si="1"/>
        <v>118333.33333333334</v>
      </c>
      <c r="I32" s="100">
        <f t="shared" si="2"/>
        <v>118330</v>
      </c>
      <c r="J32" s="69">
        <v>71</v>
      </c>
      <c r="K32" s="102">
        <f t="shared" si="4"/>
        <v>1</v>
      </c>
      <c r="L32" s="103">
        <f t="shared" si="5"/>
        <v>-1666.666666666657</v>
      </c>
      <c r="M32" s="78"/>
      <c r="N32" s="78">
        <v>0</v>
      </c>
      <c r="O32" s="101">
        <f t="shared" si="3"/>
        <v>118333.33333333334</v>
      </c>
      <c r="P32" s="62" t="s">
        <v>109</v>
      </c>
    </row>
    <row r="33" spans="9:16" x14ac:dyDescent="0.3">
      <c r="I33" s="108" t="s">
        <v>10</v>
      </c>
      <c r="L33" s="85">
        <f>SUM(L7:L26)</f>
        <v>-781192.06349206343</v>
      </c>
      <c r="M33" s="85">
        <f>SUM(M7:M26)</f>
        <v>102750</v>
      </c>
      <c r="O33" s="109">
        <f>SUM(O7:O25)</f>
        <v>1588141.2698412696</v>
      </c>
      <c r="P33" s="58"/>
    </row>
    <row r="34" spans="9:16" x14ac:dyDescent="0.3">
      <c r="I34" s="109">
        <f>SUM(I10:I25)</f>
        <v>1242060</v>
      </c>
    </row>
  </sheetData>
  <mergeCells count="1">
    <mergeCell ref="G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A9ABD-C457-42D3-8B78-1D7506B485AA}">
  <sheetPr>
    <tabColor rgb="FF70AD47"/>
  </sheetPr>
  <dimension ref="A1:P34"/>
  <sheetViews>
    <sheetView workbookViewId="0">
      <pane xSplit="1" topLeftCell="E1" activePane="topRight" state="frozen"/>
      <selection pane="topRight" activeCell="A6" sqref="A6:XFD6"/>
    </sheetView>
  </sheetViews>
  <sheetFormatPr baseColWidth="10" defaultColWidth="13.5546875" defaultRowHeight="10.199999999999999" x14ac:dyDescent="0.3"/>
  <cols>
    <col min="1" max="1" width="30.109375" style="84" bestFit="1" customWidth="1"/>
    <col min="2" max="2" width="10.44140625" style="84" bestFit="1" customWidth="1"/>
    <col min="3" max="3" width="14.21875" style="84" bestFit="1" customWidth="1"/>
    <col min="4" max="4" width="16.6640625" style="84" bestFit="1" customWidth="1"/>
    <col min="5" max="5" width="16.33203125" style="84" bestFit="1" customWidth="1"/>
    <col min="6" max="6" width="10.88671875" style="84" bestFit="1" customWidth="1"/>
    <col min="7" max="7" width="15.5546875" style="84" bestFit="1" customWidth="1"/>
    <col min="8" max="8" width="14.88671875" style="84" customWidth="1"/>
    <col min="9" max="9" width="15.6640625" style="84" customWidth="1"/>
    <col min="10" max="10" width="17.6640625" style="84" customWidth="1"/>
    <col min="11" max="11" width="15.33203125" style="84" customWidth="1"/>
    <col min="12" max="12" width="15.5546875" style="84" customWidth="1"/>
    <col min="13" max="13" width="13.33203125" style="84" bestFit="1" customWidth="1"/>
    <col min="14" max="14" width="12.109375" style="84" bestFit="1" customWidth="1"/>
    <col min="15" max="15" width="13.5546875" style="58"/>
    <col min="16" max="16384" width="13.5546875" style="84"/>
  </cols>
  <sheetData>
    <row r="1" spans="1:16" x14ac:dyDescent="0.3">
      <c r="A1" s="82"/>
      <c r="B1" s="82"/>
      <c r="C1" s="82"/>
      <c r="D1" s="82"/>
      <c r="E1" s="82"/>
      <c r="F1" s="82"/>
      <c r="G1" s="82"/>
      <c r="H1" s="82"/>
      <c r="I1" s="82"/>
    </row>
    <row r="2" spans="1:16" x14ac:dyDescent="0.3">
      <c r="A2" s="82"/>
      <c r="B2" s="82"/>
      <c r="C2" s="82"/>
      <c r="D2" s="82"/>
      <c r="E2" s="82"/>
      <c r="F2" s="82"/>
      <c r="G2" s="121" t="s">
        <v>134</v>
      </c>
      <c r="H2" s="121"/>
      <c r="I2" s="121"/>
    </row>
    <row r="3" spans="1:16" x14ac:dyDescent="0.3">
      <c r="A3" s="82"/>
      <c r="B3" s="82"/>
      <c r="C3" s="82"/>
      <c r="D3" s="82"/>
      <c r="E3" s="82"/>
      <c r="F3" s="82"/>
      <c r="G3" s="82"/>
      <c r="H3" s="82"/>
      <c r="I3" s="82"/>
    </row>
    <row r="4" spans="1:16" x14ac:dyDescent="0.3">
      <c r="A4" s="82"/>
      <c r="B4" s="82"/>
      <c r="C4" s="82"/>
      <c r="D4" s="82"/>
      <c r="E4" s="82"/>
      <c r="F4" s="82"/>
      <c r="G4" s="82"/>
      <c r="H4" s="82"/>
      <c r="I4" s="82"/>
      <c r="M4" s="85"/>
    </row>
    <row r="5" spans="1:16" ht="10.8" thickBot="1" x14ac:dyDescent="0.35">
      <c r="A5" s="80" t="s">
        <v>135</v>
      </c>
      <c r="B5" s="80"/>
      <c r="C5" s="80"/>
      <c r="D5" s="82"/>
      <c r="E5" s="82"/>
      <c r="F5" s="82"/>
      <c r="G5" s="82"/>
      <c r="H5" s="81">
        <v>46143</v>
      </c>
      <c r="I5" s="81"/>
    </row>
    <row r="6" spans="1:16" ht="21" thickBot="1" x14ac:dyDescent="0.35">
      <c r="A6" s="86" t="s">
        <v>3</v>
      </c>
      <c r="B6" s="87" t="s">
        <v>4</v>
      </c>
      <c r="C6" s="87" t="s">
        <v>5</v>
      </c>
      <c r="D6" s="88" t="s">
        <v>6</v>
      </c>
      <c r="E6" s="90" t="s">
        <v>7</v>
      </c>
      <c r="F6" s="90" t="s">
        <v>8</v>
      </c>
      <c r="G6" s="91" t="s">
        <v>9</v>
      </c>
      <c r="H6" s="92" t="s">
        <v>10</v>
      </c>
      <c r="I6" s="93" t="s">
        <v>11</v>
      </c>
      <c r="J6" s="93" t="s">
        <v>12</v>
      </c>
      <c r="K6" s="94" t="s">
        <v>136</v>
      </c>
      <c r="L6" s="90" t="s">
        <v>14</v>
      </c>
      <c r="M6" s="71" t="s">
        <v>137</v>
      </c>
      <c r="N6" s="95" t="s">
        <v>16</v>
      </c>
      <c r="O6" s="96" t="s">
        <v>138</v>
      </c>
      <c r="P6" s="21" t="s">
        <v>19</v>
      </c>
    </row>
    <row r="7" spans="1:16" ht="14.4" thickBot="1" x14ac:dyDescent="0.35">
      <c r="A7" s="63" t="s">
        <v>24</v>
      </c>
      <c r="B7" s="111" t="s">
        <v>21</v>
      </c>
      <c r="C7" s="98" t="s">
        <v>22</v>
      </c>
      <c r="D7" s="99" t="s">
        <v>23</v>
      </c>
      <c r="E7" s="100">
        <v>140000</v>
      </c>
      <c r="F7" s="68">
        <v>152</v>
      </c>
      <c r="G7" s="100">
        <f t="shared" ref="G7:G32" si="0">E7/F7</f>
        <v>921.0526315789474</v>
      </c>
      <c r="H7" s="101">
        <f t="shared" ref="H7:H32" si="1">G7*J7</f>
        <v>137439.47368421053</v>
      </c>
      <c r="I7" s="100">
        <f t="shared" ref="I7:I32" si="2">ROUNDDOWN(H7,-1)</f>
        <v>137430</v>
      </c>
      <c r="J7" s="69">
        <v>149.22</v>
      </c>
      <c r="K7" s="102">
        <f>F7-J7</f>
        <v>2.7800000000000011</v>
      </c>
      <c r="L7" s="103">
        <f>H7-E7</f>
        <v>-2560.526315789466</v>
      </c>
      <c r="M7" s="70">
        <v>44000</v>
      </c>
      <c r="N7" s="78">
        <v>0</v>
      </c>
      <c r="O7" s="101">
        <f t="shared" ref="O7:O32" si="3">H7+M7</f>
        <v>181439.47368421053</v>
      </c>
      <c r="P7" s="60" t="s">
        <v>74</v>
      </c>
    </row>
    <row r="8" spans="1:16" ht="14.4" thickBot="1" x14ac:dyDescent="0.35">
      <c r="A8" s="110" t="s">
        <v>139</v>
      </c>
      <c r="B8" s="98" t="s">
        <v>21</v>
      </c>
      <c r="C8" s="98" t="s">
        <v>22</v>
      </c>
      <c r="D8" s="99" t="s">
        <v>23</v>
      </c>
      <c r="E8" s="100">
        <v>140000</v>
      </c>
      <c r="F8" s="68">
        <v>152</v>
      </c>
      <c r="G8" s="100">
        <f t="shared" si="0"/>
        <v>921.0526315789474</v>
      </c>
      <c r="H8" s="101">
        <f t="shared" si="1"/>
        <v>136500</v>
      </c>
      <c r="I8" s="100">
        <f t="shared" si="2"/>
        <v>136500</v>
      </c>
      <c r="J8" s="69">
        <v>148.19999999999999</v>
      </c>
      <c r="K8" s="102">
        <f>F8-J8</f>
        <v>3.8000000000000114</v>
      </c>
      <c r="L8" s="103">
        <f>H8-E8</f>
        <v>-3500</v>
      </c>
      <c r="M8" s="70">
        <v>40000</v>
      </c>
      <c r="N8" s="78">
        <v>0</v>
      </c>
      <c r="O8" s="101">
        <f t="shared" si="3"/>
        <v>176500</v>
      </c>
      <c r="P8" s="60" t="s">
        <v>75</v>
      </c>
    </row>
    <row r="9" spans="1:16" ht="14.4" thickBot="1" x14ac:dyDescent="0.35">
      <c r="A9" s="110" t="s">
        <v>140</v>
      </c>
      <c r="B9" s="98" t="s">
        <v>21</v>
      </c>
      <c r="C9" s="98" t="s">
        <v>22</v>
      </c>
      <c r="D9" s="99" t="s">
        <v>23</v>
      </c>
      <c r="E9" s="112">
        <v>120000</v>
      </c>
      <c r="F9" s="68">
        <v>152</v>
      </c>
      <c r="G9" s="100">
        <f t="shared" si="0"/>
        <v>789.47368421052636</v>
      </c>
      <c r="H9" s="101">
        <f t="shared" si="1"/>
        <v>61342.1052631579</v>
      </c>
      <c r="I9" s="100">
        <f t="shared" si="2"/>
        <v>61340</v>
      </c>
      <c r="J9" s="69">
        <v>77.7</v>
      </c>
      <c r="K9" s="102">
        <f>F9-J9</f>
        <v>74.3</v>
      </c>
      <c r="L9" s="103">
        <f>H9-E9</f>
        <v>-58657.8947368421</v>
      </c>
      <c r="M9" s="70">
        <v>0</v>
      </c>
      <c r="N9" s="78">
        <v>0</v>
      </c>
      <c r="O9" s="101">
        <f t="shared" si="3"/>
        <v>61342.1052631579</v>
      </c>
      <c r="P9" s="60" t="s">
        <v>145</v>
      </c>
    </row>
    <row r="10" spans="1:16" ht="14.4" thickBot="1" x14ac:dyDescent="0.35">
      <c r="A10" s="110" t="s">
        <v>141</v>
      </c>
      <c r="B10" s="98" t="s">
        <v>21</v>
      </c>
      <c r="C10" s="98" t="s">
        <v>22</v>
      </c>
      <c r="D10" s="99" t="s">
        <v>23</v>
      </c>
      <c r="E10" s="100">
        <v>120000</v>
      </c>
      <c r="F10" s="68">
        <v>152</v>
      </c>
      <c r="G10" s="100">
        <f t="shared" si="0"/>
        <v>789.47368421052636</v>
      </c>
      <c r="H10" s="101">
        <f t="shared" si="1"/>
        <v>88421.052631578947</v>
      </c>
      <c r="I10" s="100">
        <f t="shared" si="2"/>
        <v>88420</v>
      </c>
      <c r="J10" s="69">
        <v>112</v>
      </c>
      <c r="K10" s="102">
        <v>0.6</v>
      </c>
      <c r="L10" s="103">
        <f>H10-E10</f>
        <v>-31578.947368421053</v>
      </c>
      <c r="M10" s="70">
        <v>0</v>
      </c>
      <c r="N10" s="78">
        <v>0</v>
      </c>
      <c r="O10" s="101">
        <f t="shared" si="3"/>
        <v>88421.052631578947</v>
      </c>
      <c r="P10" s="60" t="s">
        <v>112</v>
      </c>
    </row>
    <row r="11" spans="1:16" ht="15" thickTop="1" thickBot="1" x14ac:dyDescent="0.35">
      <c r="A11" s="110" t="s">
        <v>33</v>
      </c>
      <c r="B11" s="106" t="s">
        <v>31</v>
      </c>
      <c r="C11" s="98" t="s">
        <v>22</v>
      </c>
      <c r="D11" s="99" t="s">
        <v>23</v>
      </c>
      <c r="E11" s="100">
        <v>120000</v>
      </c>
      <c r="F11" s="68">
        <v>168</v>
      </c>
      <c r="G11" s="100">
        <f t="shared" si="0"/>
        <v>714.28571428571433</v>
      </c>
      <c r="H11" s="101">
        <f t="shared" si="1"/>
        <v>120000.00000000001</v>
      </c>
      <c r="I11" s="100">
        <f t="shared" si="2"/>
        <v>120000</v>
      </c>
      <c r="J11" s="69">
        <v>168</v>
      </c>
      <c r="K11" s="102">
        <f t="shared" ref="K11:K32" si="4">F11-J11</f>
        <v>0</v>
      </c>
      <c r="L11" s="103">
        <f>H11-E11</f>
        <v>0</v>
      </c>
      <c r="M11" s="70">
        <v>11940</v>
      </c>
      <c r="N11" s="78">
        <v>0</v>
      </c>
      <c r="O11" s="101">
        <f t="shared" si="3"/>
        <v>131940</v>
      </c>
      <c r="P11" s="61" t="s">
        <v>100</v>
      </c>
    </row>
    <row r="12" spans="1:16" ht="14.4" thickBot="1" x14ac:dyDescent="0.35">
      <c r="A12" s="113" t="s">
        <v>123</v>
      </c>
      <c r="B12" s="106" t="s">
        <v>31</v>
      </c>
      <c r="C12" s="98" t="s">
        <v>22</v>
      </c>
      <c r="D12" s="99" t="s">
        <v>23</v>
      </c>
      <c r="E12" s="112">
        <v>120000</v>
      </c>
      <c r="F12" s="68">
        <v>168</v>
      </c>
      <c r="G12" s="100">
        <f t="shared" si="0"/>
        <v>714.28571428571433</v>
      </c>
      <c r="H12" s="101">
        <f t="shared" si="1"/>
        <v>107707.14285714286</v>
      </c>
      <c r="I12" s="100">
        <f t="shared" si="2"/>
        <v>107700</v>
      </c>
      <c r="J12" s="69">
        <v>150.79</v>
      </c>
      <c r="K12" s="102">
        <f t="shared" si="4"/>
        <v>17.210000000000008</v>
      </c>
      <c r="L12" s="103">
        <f t="shared" ref="L12:L32" si="5">H12-E12</f>
        <v>-12292.857142857145</v>
      </c>
      <c r="M12" s="78">
        <v>0</v>
      </c>
      <c r="N12" s="78">
        <v>0</v>
      </c>
      <c r="O12" s="101">
        <f t="shared" si="3"/>
        <v>107707.14285714286</v>
      </c>
      <c r="P12" s="60" t="s">
        <v>82</v>
      </c>
    </row>
    <row r="13" spans="1:16" ht="14.4" thickBot="1" x14ac:dyDescent="0.35">
      <c r="A13" s="113" t="s">
        <v>43</v>
      </c>
      <c r="B13" s="106" t="s">
        <v>31</v>
      </c>
      <c r="C13" s="98" t="s">
        <v>22</v>
      </c>
      <c r="D13" s="99" t="s">
        <v>23</v>
      </c>
      <c r="E13" s="112">
        <v>120000</v>
      </c>
      <c r="F13" s="68">
        <v>168</v>
      </c>
      <c r="G13" s="100">
        <f t="shared" si="0"/>
        <v>714.28571428571433</v>
      </c>
      <c r="H13" s="101">
        <f t="shared" si="1"/>
        <v>117935.7142857143</v>
      </c>
      <c r="I13" s="100">
        <f t="shared" si="2"/>
        <v>117930</v>
      </c>
      <c r="J13" s="69">
        <v>165.11</v>
      </c>
      <c r="K13" s="102">
        <f t="shared" si="4"/>
        <v>2.8899999999999864</v>
      </c>
      <c r="L13" s="103">
        <f t="shared" si="5"/>
        <v>-2064.2857142856956</v>
      </c>
      <c r="M13" s="78">
        <v>0</v>
      </c>
      <c r="N13" s="78">
        <v>0</v>
      </c>
      <c r="O13" s="101">
        <f t="shared" si="3"/>
        <v>117935.7142857143</v>
      </c>
      <c r="P13" s="60" t="s">
        <v>88</v>
      </c>
    </row>
    <row r="14" spans="1:16" ht="14.4" thickBot="1" x14ac:dyDescent="0.35">
      <c r="A14" s="113" t="s">
        <v>44</v>
      </c>
      <c r="B14" s="106" t="s">
        <v>31</v>
      </c>
      <c r="C14" s="98" t="s">
        <v>22</v>
      </c>
      <c r="D14" s="99" t="s">
        <v>23</v>
      </c>
      <c r="E14" s="112">
        <v>120000</v>
      </c>
      <c r="F14" s="68">
        <v>168</v>
      </c>
      <c r="G14" s="100">
        <f t="shared" si="0"/>
        <v>714.28571428571433</v>
      </c>
      <c r="H14" s="101">
        <f t="shared" si="1"/>
        <v>116507.14285714287</v>
      </c>
      <c r="I14" s="100">
        <f t="shared" si="2"/>
        <v>116500</v>
      </c>
      <c r="J14" s="69">
        <v>163.11000000000001</v>
      </c>
      <c r="K14" s="102">
        <f t="shared" si="4"/>
        <v>4.8899999999999864</v>
      </c>
      <c r="L14" s="103">
        <f t="shared" si="5"/>
        <v>-3492.8571428571304</v>
      </c>
      <c r="M14" s="78">
        <v>0</v>
      </c>
      <c r="N14" s="78">
        <v>0</v>
      </c>
      <c r="O14" s="101">
        <f t="shared" si="3"/>
        <v>116507.14285714287</v>
      </c>
      <c r="P14" s="62" t="s">
        <v>89</v>
      </c>
    </row>
    <row r="15" spans="1:16" ht="14.4" thickBot="1" x14ac:dyDescent="0.35">
      <c r="A15" s="74" t="s">
        <v>52</v>
      </c>
      <c r="B15" s="106" t="s">
        <v>31</v>
      </c>
      <c r="C15" s="98" t="s">
        <v>22</v>
      </c>
      <c r="D15" s="99" t="s">
        <v>23</v>
      </c>
      <c r="E15" s="112">
        <v>120000</v>
      </c>
      <c r="F15" s="68">
        <v>168</v>
      </c>
      <c r="G15" s="100">
        <f t="shared" si="0"/>
        <v>714.28571428571433</v>
      </c>
      <c r="H15" s="101">
        <f t="shared" si="1"/>
        <v>93342.857142857159</v>
      </c>
      <c r="I15" s="100">
        <f t="shared" si="2"/>
        <v>93340</v>
      </c>
      <c r="J15" s="69">
        <v>130.68</v>
      </c>
      <c r="K15" s="102">
        <f t="shared" si="4"/>
        <v>37.319999999999993</v>
      </c>
      <c r="L15" s="103">
        <f t="shared" si="5"/>
        <v>-26657.142857142841</v>
      </c>
      <c r="M15" s="78">
        <v>0</v>
      </c>
      <c r="N15" s="78">
        <v>0</v>
      </c>
      <c r="O15" s="101">
        <f t="shared" si="3"/>
        <v>93342.857142857159</v>
      </c>
      <c r="P15" s="62" t="s">
        <v>102</v>
      </c>
    </row>
    <row r="16" spans="1:16" ht="14.4" thickBot="1" x14ac:dyDescent="0.35">
      <c r="A16" s="113" t="s">
        <v>142</v>
      </c>
      <c r="B16" s="106" t="s">
        <v>31</v>
      </c>
      <c r="C16" s="106" t="s">
        <v>32</v>
      </c>
      <c r="D16" s="99" t="s">
        <v>23</v>
      </c>
      <c r="E16" s="112">
        <v>120000</v>
      </c>
      <c r="F16" s="68">
        <v>168</v>
      </c>
      <c r="G16" s="100">
        <f t="shared" si="0"/>
        <v>714.28571428571433</v>
      </c>
      <c r="H16" s="101">
        <f t="shared" si="1"/>
        <v>7857.1428571428578</v>
      </c>
      <c r="I16" s="100">
        <f t="shared" si="2"/>
        <v>7850</v>
      </c>
      <c r="J16" s="69">
        <v>11</v>
      </c>
      <c r="K16" s="102">
        <f t="shared" si="4"/>
        <v>157</v>
      </c>
      <c r="L16" s="103">
        <f t="shared" si="5"/>
        <v>-112142.85714285714</v>
      </c>
      <c r="M16" s="78">
        <v>8940</v>
      </c>
      <c r="N16" s="78">
        <v>0</v>
      </c>
      <c r="O16" s="101">
        <f t="shared" si="3"/>
        <v>16797.142857142859</v>
      </c>
      <c r="P16" s="62" t="s">
        <v>146</v>
      </c>
    </row>
    <row r="17" spans="1:16" ht="14.4" thickBot="1" x14ac:dyDescent="0.35">
      <c r="A17" s="113" t="s">
        <v>39</v>
      </c>
      <c r="B17" s="106" t="s">
        <v>31</v>
      </c>
      <c r="C17" s="106" t="s">
        <v>32</v>
      </c>
      <c r="D17" s="99" t="s">
        <v>23</v>
      </c>
      <c r="E17" s="112">
        <v>120000</v>
      </c>
      <c r="F17" s="68">
        <v>168</v>
      </c>
      <c r="G17" s="100">
        <f t="shared" si="0"/>
        <v>714.28571428571433</v>
      </c>
      <c r="H17" s="101">
        <f t="shared" si="1"/>
        <v>118885.71428571429</v>
      </c>
      <c r="I17" s="100">
        <f t="shared" si="2"/>
        <v>118880</v>
      </c>
      <c r="J17" s="69">
        <v>166.44</v>
      </c>
      <c r="K17" s="102">
        <f t="shared" si="4"/>
        <v>1.5600000000000023</v>
      </c>
      <c r="L17" s="103">
        <f t="shared" si="5"/>
        <v>-1114.2857142857101</v>
      </c>
      <c r="M17" s="78">
        <v>0</v>
      </c>
      <c r="N17" s="78">
        <v>0</v>
      </c>
      <c r="O17" s="101">
        <f t="shared" si="3"/>
        <v>118885.71428571429</v>
      </c>
      <c r="P17" s="62" t="s">
        <v>85</v>
      </c>
    </row>
    <row r="18" spans="1:16" ht="14.4" thickBot="1" x14ac:dyDescent="0.35">
      <c r="A18" s="113" t="s">
        <v>143</v>
      </c>
      <c r="B18" s="106" t="s">
        <v>31</v>
      </c>
      <c r="C18" s="106" t="s">
        <v>32</v>
      </c>
      <c r="D18" s="99" t="s">
        <v>23</v>
      </c>
      <c r="E18" s="112">
        <v>120000</v>
      </c>
      <c r="F18" s="68">
        <v>168</v>
      </c>
      <c r="G18" s="100">
        <f t="shared" si="0"/>
        <v>714.28571428571433</v>
      </c>
      <c r="H18" s="101">
        <f t="shared" si="1"/>
        <v>101007.14285714286</v>
      </c>
      <c r="I18" s="100">
        <f t="shared" si="2"/>
        <v>101000</v>
      </c>
      <c r="J18" s="69">
        <v>141.41</v>
      </c>
      <c r="K18" s="102">
        <f t="shared" si="4"/>
        <v>26.590000000000003</v>
      </c>
      <c r="L18" s="103">
        <f t="shared" si="5"/>
        <v>-18992.857142857145</v>
      </c>
      <c r="M18" s="78">
        <v>8940</v>
      </c>
      <c r="N18" s="78">
        <v>0</v>
      </c>
      <c r="O18" s="101">
        <f t="shared" si="3"/>
        <v>109947.14285714286</v>
      </c>
      <c r="P18" s="62" t="s">
        <v>147</v>
      </c>
    </row>
    <row r="19" spans="1:16" ht="14.4" thickBot="1" x14ac:dyDescent="0.35">
      <c r="A19" s="113" t="s">
        <v>48</v>
      </c>
      <c r="B19" s="106" t="s">
        <v>31</v>
      </c>
      <c r="C19" s="106" t="s">
        <v>32</v>
      </c>
      <c r="D19" s="99" t="s">
        <v>23</v>
      </c>
      <c r="E19" s="112">
        <v>120000</v>
      </c>
      <c r="F19" s="68">
        <v>168</v>
      </c>
      <c r="G19" s="100">
        <f t="shared" si="0"/>
        <v>714.28571428571433</v>
      </c>
      <c r="H19" s="101">
        <f t="shared" si="1"/>
        <v>114285.71428571429</v>
      </c>
      <c r="I19" s="100">
        <f t="shared" si="2"/>
        <v>114280</v>
      </c>
      <c r="J19" s="69">
        <v>160</v>
      </c>
      <c r="K19" s="102">
        <f t="shared" si="4"/>
        <v>8</v>
      </c>
      <c r="L19" s="103">
        <f t="shared" si="5"/>
        <v>-5714.2857142857101</v>
      </c>
      <c r="M19" s="78">
        <v>0</v>
      </c>
      <c r="N19" s="78">
        <v>0</v>
      </c>
      <c r="O19" s="101">
        <f t="shared" si="3"/>
        <v>114285.71428571429</v>
      </c>
      <c r="P19" s="62" t="s">
        <v>93</v>
      </c>
    </row>
    <row r="20" spans="1:16" ht="14.4" thickBot="1" x14ac:dyDescent="0.35">
      <c r="A20" s="113" t="s">
        <v>47</v>
      </c>
      <c r="B20" s="106" t="s">
        <v>31</v>
      </c>
      <c r="C20" s="106" t="s">
        <v>32</v>
      </c>
      <c r="D20" s="99" t="s">
        <v>23</v>
      </c>
      <c r="E20" s="112">
        <v>120000</v>
      </c>
      <c r="F20" s="68">
        <v>168</v>
      </c>
      <c r="G20" s="100">
        <f t="shared" si="0"/>
        <v>714.28571428571433</v>
      </c>
      <c r="H20" s="101">
        <f t="shared" si="1"/>
        <v>120000.00000000001</v>
      </c>
      <c r="I20" s="100">
        <f t="shared" si="2"/>
        <v>120000</v>
      </c>
      <c r="J20" s="69">
        <v>168</v>
      </c>
      <c r="K20" s="102">
        <f t="shared" si="4"/>
        <v>0</v>
      </c>
      <c r="L20" s="103">
        <f t="shared" si="5"/>
        <v>0</v>
      </c>
      <c r="M20" s="78">
        <v>0</v>
      </c>
      <c r="N20" s="78">
        <v>0</v>
      </c>
      <c r="O20" s="101">
        <f t="shared" si="3"/>
        <v>120000.00000000001</v>
      </c>
      <c r="P20" s="62" t="s">
        <v>92</v>
      </c>
    </row>
    <row r="21" spans="1:16" ht="14.4" thickBot="1" x14ac:dyDescent="0.35">
      <c r="A21" s="113" t="s">
        <v>42</v>
      </c>
      <c r="B21" s="106" t="s">
        <v>31</v>
      </c>
      <c r="C21" s="106" t="s">
        <v>32</v>
      </c>
      <c r="D21" s="99" t="s">
        <v>23</v>
      </c>
      <c r="E21" s="112">
        <v>120000</v>
      </c>
      <c r="F21" s="68">
        <v>168</v>
      </c>
      <c r="G21" s="100">
        <f t="shared" si="0"/>
        <v>714.28571428571433</v>
      </c>
      <c r="H21" s="101">
        <f t="shared" si="1"/>
        <v>118571.42857142858</v>
      </c>
      <c r="I21" s="100">
        <f t="shared" si="2"/>
        <v>118570</v>
      </c>
      <c r="J21" s="69">
        <v>166</v>
      </c>
      <c r="K21" s="102">
        <f t="shared" si="4"/>
        <v>2</v>
      </c>
      <c r="L21" s="103">
        <f t="shared" si="5"/>
        <v>-1428.5714285714203</v>
      </c>
      <c r="M21" s="78">
        <v>0</v>
      </c>
      <c r="N21" s="78">
        <v>0</v>
      </c>
      <c r="O21" s="101">
        <f t="shared" si="3"/>
        <v>118571.42857142858</v>
      </c>
      <c r="P21" s="62" t="s">
        <v>87</v>
      </c>
    </row>
    <row r="22" spans="1:16" ht="14.4" thickBot="1" x14ac:dyDescent="0.35">
      <c r="A22" s="113" t="s">
        <v>144</v>
      </c>
      <c r="B22" s="106" t="s">
        <v>31</v>
      </c>
      <c r="C22" s="106" t="s">
        <v>32</v>
      </c>
      <c r="D22" s="99" t="s">
        <v>23</v>
      </c>
      <c r="E22" s="112">
        <v>120000</v>
      </c>
      <c r="F22" s="68">
        <v>168</v>
      </c>
      <c r="G22" s="100">
        <f t="shared" si="0"/>
        <v>714.28571428571433</v>
      </c>
      <c r="H22" s="101">
        <f t="shared" si="1"/>
        <v>118750.00000000001</v>
      </c>
      <c r="I22" s="100">
        <f t="shared" si="2"/>
        <v>118750</v>
      </c>
      <c r="J22" s="69">
        <v>166.25</v>
      </c>
      <c r="K22" s="102">
        <f t="shared" si="4"/>
        <v>1.75</v>
      </c>
      <c r="L22" s="103">
        <f t="shared" si="5"/>
        <v>-1249.9999999999854</v>
      </c>
      <c r="M22" s="78">
        <v>0</v>
      </c>
      <c r="N22" s="78">
        <v>0</v>
      </c>
      <c r="O22" s="101">
        <f t="shared" si="3"/>
        <v>118750.00000000001</v>
      </c>
      <c r="P22" s="62" t="s">
        <v>148</v>
      </c>
    </row>
    <row r="23" spans="1:16" ht="14.4" thickBot="1" x14ac:dyDescent="0.35">
      <c r="A23" s="113" t="s">
        <v>40</v>
      </c>
      <c r="B23" s="106" t="s">
        <v>31</v>
      </c>
      <c r="C23" s="106" t="s">
        <v>32</v>
      </c>
      <c r="D23" s="99" t="s">
        <v>23</v>
      </c>
      <c r="E23" s="112">
        <v>120000</v>
      </c>
      <c r="F23" s="68">
        <v>168</v>
      </c>
      <c r="G23" s="100">
        <f t="shared" si="0"/>
        <v>714.28571428571433</v>
      </c>
      <c r="H23" s="101">
        <f t="shared" si="1"/>
        <v>120000.00000000001</v>
      </c>
      <c r="I23" s="100">
        <f t="shared" si="2"/>
        <v>120000</v>
      </c>
      <c r="J23" s="69">
        <v>168</v>
      </c>
      <c r="K23" s="102">
        <f t="shared" si="4"/>
        <v>0</v>
      </c>
      <c r="L23" s="103">
        <f t="shared" si="5"/>
        <v>0</v>
      </c>
      <c r="M23" s="78">
        <v>0</v>
      </c>
      <c r="N23" s="78">
        <v>0</v>
      </c>
      <c r="O23" s="101">
        <f t="shared" si="3"/>
        <v>120000.00000000001</v>
      </c>
      <c r="P23" s="62" t="s">
        <v>101</v>
      </c>
    </row>
    <row r="24" spans="1:16" ht="14.4" thickBot="1" x14ac:dyDescent="0.35">
      <c r="A24" s="113" t="s">
        <v>58</v>
      </c>
      <c r="B24" s="106" t="s">
        <v>31</v>
      </c>
      <c r="C24" s="106" t="s">
        <v>32</v>
      </c>
      <c r="D24" s="99" t="s">
        <v>23</v>
      </c>
      <c r="E24" s="112">
        <v>120000</v>
      </c>
      <c r="F24" s="68">
        <v>168</v>
      </c>
      <c r="G24" s="100">
        <f t="shared" si="0"/>
        <v>714.28571428571433</v>
      </c>
      <c r="H24" s="101">
        <f t="shared" si="1"/>
        <v>119642.85714285714</v>
      </c>
      <c r="I24" s="100">
        <f t="shared" si="2"/>
        <v>119640</v>
      </c>
      <c r="J24" s="69">
        <v>167.5</v>
      </c>
      <c r="K24" s="102">
        <f t="shared" si="4"/>
        <v>0.5</v>
      </c>
      <c r="L24" s="103">
        <f t="shared" si="5"/>
        <v>-357.14285714285506</v>
      </c>
      <c r="M24" s="78">
        <v>0</v>
      </c>
      <c r="N24" s="78">
        <v>0</v>
      </c>
      <c r="O24" s="101">
        <f t="shared" si="3"/>
        <v>119642.85714285714</v>
      </c>
      <c r="P24" s="62" t="s">
        <v>106</v>
      </c>
    </row>
    <row r="25" spans="1:16" ht="14.4" thickBot="1" x14ac:dyDescent="0.35">
      <c r="A25" s="74" t="s">
        <v>30</v>
      </c>
      <c r="B25" s="106" t="s">
        <v>31</v>
      </c>
      <c r="C25" s="106" t="s">
        <v>32</v>
      </c>
      <c r="D25" s="99" t="s">
        <v>23</v>
      </c>
      <c r="E25" s="112">
        <v>120000</v>
      </c>
      <c r="F25" s="68">
        <v>168</v>
      </c>
      <c r="G25" s="100">
        <f t="shared" si="0"/>
        <v>714.28571428571433</v>
      </c>
      <c r="H25" s="101">
        <f t="shared" si="1"/>
        <v>120000.00000000001</v>
      </c>
      <c r="I25" s="100">
        <f t="shared" si="2"/>
        <v>120000</v>
      </c>
      <c r="J25" s="69">
        <v>168</v>
      </c>
      <c r="K25" s="102">
        <f t="shared" si="4"/>
        <v>0</v>
      </c>
      <c r="L25" s="103">
        <f t="shared" si="5"/>
        <v>0</v>
      </c>
      <c r="M25" s="78">
        <v>0</v>
      </c>
      <c r="N25" s="78">
        <v>0</v>
      </c>
      <c r="O25" s="101">
        <f t="shared" si="3"/>
        <v>120000.00000000001</v>
      </c>
      <c r="P25" s="62" t="s">
        <v>79</v>
      </c>
    </row>
    <row r="26" spans="1:16" ht="14.4" thickBot="1" x14ac:dyDescent="0.35">
      <c r="A26" s="113" t="s">
        <v>124</v>
      </c>
      <c r="B26" s="106" t="s">
        <v>31</v>
      </c>
      <c r="C26" s="106" t="s">
        <v>32</v>
      </c>
      <c r="D26" s="99" t="s">
        <v>23</v>
      </c>
      <c r="E26" s="112">
        <v>120000</v>
      </c>
      <c r="F26" s="68">
        <v>168</v>
      </c>
      <c r="G26" s="100">
        <f t="shared" si="0"/>
        <v>714.28571428571433</v>
      </c>
      <c r="H26" s="101">
        <f t="shared" si="1"/>
        <v>120000.00000000001</v>
      </c>
      <c r="I26" s="100">
        <f t="shared" si="2"/>
        <v>120000</v>
      </c>
      <c r="J26" s="69">
        <v>168</v>
      </c>
      <c r="K26" s="102">
        <f t="shared" si="4"/>
        <v>0</v>
      </c>
      <c r="L26" s="103">
        <f t="shared" si="5"/>
        <v>0</v>
      </c>
      <c r="M26" s="78">
        <v>0</v>
      </c>
      <c r="N26" s="78">
        <v>0</v>
      </c>
      <c r="O26" s="101">
        <f t="shared" si="3"/>
        <v>120000.00000000001</v>
      </c>
      <c r="P26" s="62" t="s">
        <v>86</v>
      </c>
    </row>
    <row r="27" spans="1:16" ht="14.4" thickBot="1" x14ac:dyDescent="0.35">
      <c r="A27" s="113" t="s">
        <v>125</v>
      </c>
      <c r="B27" s="106" t="s">
        <v>31</v>
      </c>
      <c r="C27" s="106" t="s">
        <v>32</v>
      </c>
      <c r="D27" s="99" t="s">
        <v>23</v>
      </c>
      <c r="E27" s="112">
        <v>120000</v>
      </c>
      <c r="F27" s="68">
        <v>168</v>
      </c>
      <c r="G27" s="100">
        <f t="shared" si="0"/>
        <v>714.28571428571433</v>
      </c>
      <c r="H27" s="101">
        <f t="shared" si="1"/>
        <v>120000.00000000001</v>
      </c>
      <c r="I27" s="100">
        <f t="shared" si="2"/>
        <v>120000</v>
      </c>
      <c r="J27" s="69">
        <v>168</v>
      </c>
      <c r="K27" s="102">
        <f t="shared" si="4"/>
        <v>0</v>
      </c>
      <c r="L27" s="103">
        <f t="shared" si="5"/>
        <v>0</v>
      </c>
      <c r="M27" s="78">
        <v>0</v>
      </c>
      <c r="N27" s="78">
        <v>0</v>
      </c>
      <c r="O27" s="101">
        <f t="shared" si="3"/>
        <v>120000.00000000001</v>
      </c>
      <c r="P27" s="62" t="s">
        <v>98</v>
      </c>
    </row>
    <row r="28" spans="1:16" ht="14.4" thickBot="1" x14ac:dyDescent="0.35">
      <c r="A28" s="113" t="s">
        <v>53</v>
      </c>
      <c r="B28" s="106" t="s">
        <v>31</v>
      </c>
      <c r="C28" s="106" t="s">
        <v>32</v>
      </c>
      <c r="D28" s="99" t="s">
        <v>23</v>
      </c>
      <c r="E28" s="112">
        <v>120000</v>
      </c>
      <c r="F28" s="68">
        <v>168</v>
      </c>
      <c r="G28" s="100">
        <f t="shared" si="0"/>
        <v>714.28571428571433</v>
      </c>
      <c r="H28" s="101">
        <f t="shared" si="1"/>
        <v>111428.57142857143</v>
      </c>
      <c r="I28" s="100">
        <f t="shared" si="2"/>
        <v>111420</v>
      </c>
      <c r="J28" s="69">
        <v>156</v>
      </c>
      <c r="K28" s="102">
        <f t="shared" si="4"/>
        <v>12</v>
      </c>
      <c r="L28" s="103">
        <f t="shared" si="5"/>
        <v>-8571.4285714285652</v>
      </c>
      <c r="M28" s="78">
        <v>0</v>
      </c>
      <c r="N28" s="78">
        <v>0</v>
      </c>
      <c r="O28" s="101">
        <f t="shared" si="3"/>
        <v>111428.57142857143</v>
      </c>
      <c r="P28" s="62" t="s">
        <v>97</v>
      </c>
    </row>
    <row r="29" spans="1:16" ht="14.4" thickBot="1" x14ac:dyDescent="0.35">
      <c r="A29" s="74" t="s">
        <v>55</v>
      </c>
      <c r="B29" s="106" t="s">
        <v>31</v>
      </c>
      <c r="C29" s="106" t="s">
        <v>32</v>
      </c>
      <c r="D29" s="99" t="s">
        <v>23</v>
      </c>
      <c r="E29" s="112">
        <v>120000</v>
      </c>
      <c r="F29" s="68">
        <v>168</v>
      </c>
      <c r="G29" s="100">
        <f t="shared" si="0"/>
        <v>714.28571428571433</v>
      </c>
      <c r="H29" s="101">
        <f t="shared" si="1"/>
        <v>120000.00000000001</v>
      </c>
      <c r="I29" s="100">
        <f t="shared" si="2"/>
        <v>120000</v>
      </c>
      <c r="J29" s="69">
        <v>168</v>
      </c>
      <c r="K29" s="102">
        <f t="shared" si="4"/>
        <v>0</v>
      </c>
      <c r="L29" s="103">
        <f t="shared" si="5"/>
        <v>0</v>
      </c>
      <c r="M29" s="78">
        <v>0</v>
      </c>
      <c r="N29" s="78">
        <v>0</v>
      </c>
      <c r="O29" s="101">
        <f t="shared" si="3"/>
        <v>120000.00000000001</v>
      </c>
      <c r="P29" s="62" t="s">
        <v>99</v>
      </c>
    </row>
    <row r="30" spans="1:16" ht="14.4" thickBot="1" x14ac:dyDescent="0.35">
      <c r="A30" s="113" t="s">
        <v>128</v>
      </c>
      <c r="B30" s="106" t="s">
        <v>31</v>
      </c>
      <c r="C30" s="106" t="s">
        <v>32</v>
      </c>
      <c r="D30" s="99" t="s">
        <v>23</v>
      </c>
      <c r="E30" s="112">
        <v>120000</v>
      </c>
      <c r="F30" s="68">
        <v>168</v>
      </c>
      <c r="G30" s="100">
        <f t="shared" si="0"/>
        <v>714.28571428571433</v>
      </c>
      <c r="H30" s="101">
        <f t="shared" si="1"/>
        <v>114285.71428571429</v>
      </c>
      <c r="I30" s="100">
        <f t="shared" si="2"/>
        <v>114280</v>
      </c>
      <c r="J30" s="69">
        <v>160</v>
      </c>
      <c r="K30" s="102">
        <f t="shared" si="4"/>
        <v>8</v>
      </c>
      <c r="L30" s="103">
        <f t="shared" si="5"/>
        <v>-5714.2857142857101</v>
      </c>
      <c r="M30" s="78">
        <v>0</v>
      </c>
      <c r="N30" s="78">
        <v>0</v>
      </c>
      <c r="O30" s="101">
        <f t="shared" si="3"/>
        <v>114285.71428571429</v>
      </c>
      <c r="P30" s="62" t="s">
        <v>105</v>
      </c>
    </row>
    <row r="31" spans="1:16" ht="14.4" thickBot="1" x14ac:dyDescent="0.35">
      <c r="A31" s="113" t="s">
        <v>129</v>
      </c>
      <c r="B31" s="106" t="s">
        <v>31</v>
      </c>
      <c r="C31" s="106" t="s">
        <v>32</v>
      </c>
      <c r="D31" s="99" t="s">
        <v>23</v>
      </c>
      <c r="E31" s="112">
        <v>120000</v>
      </c>
      <c r="F31" s="68">
        <v>168</v>
      </c>
      <c r="G31" s="100">
        <f t="shared" si="0"/>
        <v>714.28571428571433</v>
      </c>
      <c r="H31" s="101">
        <f t="shared" si="1"/>
        <v>120000.00000000001</v>
      </c>
      <c r="I31" s="100">
        <f t="shared" si="2"/>
        <v>120000</v>
      </c>
      <c r="J31" s="69">
        <v>168</v>
      </c>
      <c r="K31" s="102">
        <f t="shared" si="4"/>
        <v>0</v>
      </c>
      <c r="L31" s="103">
        <f t="shared" si="5"/>
        <v>0</v>
      </c>
      <c r="M31" s="78">
        <v>0</v>
      </c>
      <c r="N31" s="78">
        <v>0</v>
      </c>
      <c r="O31" s="101">
        <f t="shared" si="3"/>
        <v>120000.00000000001</v>
      </c>
      <c r="P31" s="62" t="s">
        <v>107</v>
      </c>
    </row>
    <row r="32" spans="1:16" ht="14.4" thickBot="1" x14ac:dyDescent="0.35">
      <c r="A32" s="113" t="s">
        <v>130</v>
      </c>
      <c r="B32" s="106" t="s">
        <v>31</v>
      </c>
      <c r="C32" s="106" t="s">
        <v>32</v>
      </c>
      <c r="D32" s="99" t="s">
        <v>23</v>
      </c>
      <c r="E32" s="112">
        <v>120000</v>
      </c>
      <c r="F32" s="68">
        <v>168</v>
      </c>
      <c r="G32" s="100">
        <f t="shared" si="0"/>
        <v>714.28571428571433</v>
      </c>
      <c r="H32" s="101">
        <f t="shared" si="1"/>
        <v>120000.00000000001</v>
      </c>
      <c r="I32" s="100">
        <f t="shared" si="2"/>
        <v>120000</v>
      </c>
      <c r="J32" s="69">
        <v>168</v>
      </c>
      <c r="K32" s="102">
        <f t="shared" si="4"/>
        <v>0</v>
      </c>
      <c r="L32" s="103">
        <f t="shared" si="5"/>
        <v>0</v>
      </c>
      <c r="M32" s="78">
        <v>0</v>
      </c>
      <c r="N32" s="78">
        <v>0</v>
      </c>
      <c r="O32" s="101">
        <f t="shared" si="3"/>
        <v>120000.00000000001</v>
      </c>
      <c r="P32" s="62" t="s">
        <v>109</v>
      </c>
    </row>
    <row r="33" spans="9:16" x14ac:dyDescent="0.3">
      <c r="I33" s="108" t="s">
        <v>10</v>
      </c>
      <c r="L33" s="85">
        <f>SUM(L7:L32)</f>
        <v>-296090.22556390963</v>
      </c>
      <c r="M33" s="85">
        <f>SUM(M7:M32)</f>
        <v>113820</v>
      </c>
      <c r="O33" s="109">
        <f>SUM(O7:O32)</f>
        <v>2977729.7744360906</v>
      </c>
      <c r="P33" s="58"/>
    </row>
    <row r="34" spans="9:16" x14ac:dyDescent="0.3">
      <c r="I34" s="109">
        <f>SUM(I7:I32)</f>
        <v>2863830</v>
      </c>
    </row>
  </sheetData>
  <mergeCells count="1">
    <mergeCell ref="G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9B204-547F-4760-99AB-17ADD66E22BB}">
  <sheetPr>
    <tabColor rgb="FF70AD47"/>
  </sheetPr>
  <dimension ref="A1:P49"/>
  <sheetViews>
    <sheetView workbookViewId="0">
      <pane xSplit="1" topLeftCell="B1" activePane="topRight" state="frozen"/>
      <selection pane="topRight" activeCell="A7" sqref="A7:XFD7"/>
    </sheetView>
  </sheetViews>
  <sheetFormatPr baseColWidth="10" defaultColWidth="13.5546875" defaultRowHeight="10.199999999999999" x14ac:dyDescent="0.3"/>
  <cols>
    <col min="1" max="1" width="30.109375" style="84" bestFit="1" customWidth="1"/>
    <col min="2" max="2" width="10.44140625" style="84" bestFit="1" customWidth="1"/>
    <col min="3" max="3" width="14.21875" style="84" bestFit="1" customWidth="1"/>
    <col min="4" max="4" width="16.6640625" style="84" customWidth="1"/>
    <col min="5" max="5" width="16.33203125" style="107" bestFit="1" customWidth="1"/>
    <col min="6" max="6" width="10.88671875" style="84" bestFit="1" customWidth="1"/>
    <col min="7" max="7" width="15.5546875" style="84" bestFit="1" customWidth="1"/>
    <col min="8" max="8" width="14.88671875" style="84" customWidth="1"/>
    <col min="9" max="9" width="15.6640625" style="84" customWidth="1"/>
    <col min="10" max="10" width="17.6640625" style="84" customWidth="1"/>
    <col min="11" max="11" width="15.33203125" style="84" customWidth="1"/>
    <col min="12" max="12" width="15.5546875" style="84" customWidth="1"/>
    <col min="13" max="13" width="13.33203125" style="84" bestFit="1" customWidth="1"/>
    <col min="14" max="14" width="13.33203125" style="84" customWidth="1"/>
    <col min="15" max="15" width="12.109375" style="84" bestFit="1" customWidth="1"/>
    <col min="16" max="16" width="13.5546875" style="58"/>
    <col min="17" max="16384" width="13.5546875" style="84"/>
  </cols>
  <sheetData>
    <row r="1" spans="1:16" x14ac:dyDescent="0.3">
      <c r="A1" s="82"/>
      <c r="B1" s="82"/>
      <c r="C1" s="82"/>
      <c r="D1" s="82"/>
      <c r="E1" s="83"/>
      <c r="F1" s="82"/>
      <c r="G1" s="82"/>
      <c r="H1" s="82"/>
      <c r="I1" s="82"/>
    </row>
    <row r="2" spans="1:16" x14ac:dyDescent="0.3">
      <c r="A2" s="82"/>
      <c r="B2" s="82"/>
      <c r="C2" s="82"/>
      <c r="D2" s="82"/>
      <c r="E2" s="83"/>
      <c r="F2" s="82"/>
      <c r="G2" s="121" t="s">
        <v>117</v>
      </c>
      <c r="H2" s="121"/>
      <c r="I2" s="121"/>
    </row>
    <row r="3" spans="1:16" x14ac:dyDescent="0.3">
      <c r="A3" s="82"/>
      <c r="B3" s="82"/>
      <c r="C3" s="82"/>
      <c r="D3" s="82"/>
      <c r="E3" s="83"/>
      <c r="F3" s="82"/>
      <c r="G3" s="82"/>
      <c r="H3" s="82"/>
      <c r="I3" s="82"/>
    </row>
    <row r="4" spans="1:16" x14ac:dyDescent="0.3">
      <c r="A4" s="82"/>
      <c r="B4" s="82"/>
      <c r="C4" s="82"/>
      <c r="D4" s="82"/>
      <c r="E4" s="83"/>
      <c r="F4" s="82"/>
      <c r="G4" s="82"/>
      <c r="H4" s="82"/>
      <c r="I4" s="82"/>
      <c r="M4" s="85"/>
      <c r="N4" s="85"/>
    </row>
    <row r="5" spans="1:16" x14ac:dyDescent="0.3">
      <c r="A5" s="80" t="s">
        <v>118</v>
      </c>
      <c r="B5" s="80"/>
      <c r="C5" s="80"/>
      <c r="D5" s="82"/>
      <c r="E5" s="83"/>
      <c r="F5" s="82"/>
      <c r="G5" s="82"/>
      <c r="H5" s="81">
        <v>46174</v>
      </c>
      <c r="I5" s="81"/>
    </row>
    <row r="6" spans="1:16" ht="10.8" thickBot="1" x14ac:dyDescent="0.25">
      <c r="A6" s="82"/>
      <c r="B6" s="82"/>
      <c r="C6" s="82"/>
      <c r="D6" s="82"/>
      <c r="E6" s="83"/>
      <c r="F6" s="82"/>
      <c r="G6" s="82"/>
      <c r="H6" s="82"/>
      <c r="I6" s="82"/>
      <c r="P6" s="59"/>
    </row>
    <row r="7" spans="1:16" ht="21" thickBot="1" x14ac:dyDescent="0.35">
      <c r="A7" s="86" t="s">
        <v>3</v>
      </c>
      <c r="B7" s="87" t="s">
        <v>4</v>
      </c>
      <c r="C7" s="87" t="s">
        <v>5</v>
      </c>
      <c r="D7" s="88" t="s">
        <v>6</v>
      </c>
      <c r="E7" s="89" t="s">
        <v>7</v>
      </c>
      <c r="F7" s="90" t="s">
        <v>8</v>
      </c>
      <c r="G7" s="91" t="s">
        <v>9</v>
      </c>
      <c r="H7" s="92" t="s">
        <v>10</v>
      </c>
      <c r="I7" s="93" t="s">
        <v>11</v>
      </c>
      <c r="J7" s="93" t="s">
        <v>12</v>
      </c>
      <c r="K7" s="94" t="s">
        <v>13</v>
      </c>
      <c r="L7" s="90" t="s">
        <v>14</v>
      </c>
      <c r="M7" s="71" t="s">
        <v>119</v>
      </c>
      <c r="N7" s="95" t="s">
        <v>16</v>
      </c>
      <c r="O7" s="96" t="s">
        <v>120</v>
      </c>
      <c r="P7" s="21" t="s">
        <v>19</v>
      </c>
    </row>
    <row r="8" spans="1:16" ht="14.4" thickBot="1" x14ac:dyDescent="0.35">
      <c r="A8" s="63" t="s">
        <v>121</v>
      </c>
      <c r="B8" s="97" t="s">
        <v>21</v>
      </c>
      <c r="C8" s="98" t="s">
        <v>22</v>
      </c>
      <c r="D8" s="99" t="s">
        <v>23</v>
      </c>
      <c r="E8" s="66">
        <v>100000</v>
      </c>
      <c r="F8" s="68">
        <v>160</v>
      </c>
      <c r="G8" s="100">
        <f t="shared" ref="G8:G47" si="0">E8/F8</f>
        <v>625</v>
      </c>
      <c r="H8" s="101">
        <f t="shared" ref="H8:H47" si="1">G8*J8</f>
        <v>95000</v>
      </c>
      <c r="I8" s="100">
        <f t="shared" ref="I8:I47" si="2">ROUNDDOWN(H8,-1)</f>
        <v>95000</v>
      </c>
      <c r="J8" s="69">
        <v>152</v>
      </c>
      <c r="K8" s="102">
        <v>0.6</v>
      </c>
      <c r="L8" s="103">
        <f t="shared" ref="L8:L47" si="3">H8-E8</f>
        <v>-5000</v>
      </c>
      <c r="M8" s="70">
        <v>0</v>
      </c>
      <c r="N8" s="70"/>
      <c r="O8" s="101">
        <f>H8+M8+N8</f>
        <v>95000</v>
      </c>
      <c r="P8" s="60" t="s">
        <v>131</v>
      </c>
    </row>
    <row r="9" spans="1:16" ht="14.4" thickBot="1" x14ac:dyDescent="0.35">
      <c r="A9" s="63" t="s">
        <v>122</v>
      </c>
      <c r="B9" s="104" t="s">
        <v>21</v>
      </c>
      <c r="C9" s="98" t="s">
        <v>22</v>
      </c>
      <c r="D9" s="99" t="s">
        <v>23</v>
      </c>
      <c r="E9" s="66">
        <v>100000</v>
      </c>
      <c r="F9" s="68">
        <v>160</v>
      </c>
      <c r="G9" s="100">
        <f t="shared" si="0"/>
        <v>625</v>
      </c>
      <c r="H9" s="101">
        <f t="shared" si="1"/>
        <v>90000</v>
      </c>
      <c r="I9" s="100">
        <f t="shared" si="2"/>
        <v>90000</v>
      </c>
      <c r="J9" s="69">
        <v>144</v>
      </c>
      <c r="K9" s="102">
        <f t="shared" ref="K9:K47" si="4">F9-J9</f>
        <v>16</v>
      </c>
      <c r="L9" s="103">
        <f t="shared" si="3"/>
        <v>-10000</v>
      </c>
      <c r="M9" s="70">
        <v>0</v>
      </c>
      <c r="N9" s="70"/>
      <c r="O9" s="101">
        <f t="shared" ref="O9:O45" si="5">H9+M9+N9</f>
        <v>90000</v>
      </c>
      <c r="P9" s="60" t="s">
        <v>132</v>
      </c>
    </row>
    <row r="10" spans="1:16" ht="14.4" thickBot="1" x14ac:dyDescent="0.35">
      <c r="A10" s="63" t="s">
        <v>20</v>
      </c>
      <c r="B10" s="104" t="s">
        <v>21</v>
      </c>
      <c r="C10" s="98" t="s">
        <v>22</v>
      </c>
      <c r="D10" s="99" t="s">
        <v>23</v>
      </c>
      <c r="E10" s="66">
        <v>100000</v>
      </c>
      <c r="F10" s="68">
        <v>160</v>
      </c>
      <c r="G10" s="100">
        <f t="shared" si="0"/>
        <v>625</v>
      </c>
      <c r="H10" s="101">
        <f t="shared" si="1"/>
        <v>98750</v>
      </c>
      <c r="I10" s="100">
        <f t="shared" si="2"/>
        <v>98750</v>
      </c>
      <c r="J10" s="69">
        <v>158</v>
      </c>
      <c r="K10" s="102">
        <f t="shared" si="4"/>
        <v>2</v>
      </c>
      <c r="L10" s="103">
        <f t="shared" si="3"/>
        <v>-1250</v>
      </c>
      <c r="M10" s="70">
        <v>0</v>
      </c>
      <c r="N10" s="70"/>
      <c r="O10" s="101">
        <f t="shared" si="5"/>
        <v>98750</v>
      </c>
      <c r="P10" s="60" t="s">
        <v>73</v>
      </c>
    </row>
    <row r="11" spans="1:16" ht="14.4" thickBot="1" x14ac:dyDescent="0.35">
      <c r="A11" s="63" t="s">
        <v>24</v>
      </c>
      <c r="B11" s="104" t="s">
        <v>21</v>
      </c>
      <c r="C11" s="98" t="s">
        <v>22</v>
      </c>
      <c r="D11" s="99" t="s">
        <v>23</v>
      </c>
      <c r="E11" s="66">
        <v>140000</v>
      </c>
      <c r="F11" s="68">
        <v>160</v>
      </c>
      <c r="G11" s="100">
        <f t="shared" si="0"/>
        <v>875</v>
      </c>
      <c r="H11" s="101">
        <f t="shared" si="1"/>
        <v>126962.5</v>
      </c>
      <c r="I11" s="100">
        <f t="shared" si="2"/>
        <v>126960</v>
      </c>
      <c r="J11" s="69">
        <v>145.1</v>
      </c>
      <c r="K11" s="102">
        <f t="shared" si="4"/>
        <v>14.900000000000006</v>
      </c>
      <c r="L11" s="103">
        <f t="shared" si="3"/>
        <v>-13037.5</v>
      </c>
      <c r="M11" s="70">
        <v>48000</v>
      </c>
      <c r="N11" s="70"/>
      <c r="O11" s="101">
        <f t="shared" si="5"/>
        <v>174962.5</v>
      </c>
      <c r="P11" s="60" t="s">
        <v>74</v>
      </c>
    </row>
    <row r="12" spans="1:16" ht="15" thickTop="1" thickBot="1" x14ac:dyDescent="0.35">
      <c r="A12" s="63" t="s">
        <v>25</v>
      </c>
      <c r="B12" s="104" t="s">
        <v>21</v>
      </c>
      <c r="C12" s="98" t="s">
        <v>22</v>
      </c>
      <c r="D12" s="99" t="s">
        <v>23</v>
      </c>
      <c r="E12" s="66">
        <v>140000</v>
      </c>
      <c r="F12" s="68">
        <v>160</v>
      </c>
      <c r="G12" s="100">
        <f t="shared" si="0"/>
        <v>875</v>
      </c>
      <c r="H12" s="101">
        <f t="shared" si="1"/>
        <v>139125</v>
      </c>
      <c r="I12" s="100">
        <f t="shared" si="2"/>
        <v>139120</v>
      </c>
      <c r="J12" s="69">
        <v>159</v>
      </c>
      <c r="K12" s="102">
        <f t="shared" si="4"/>
        <v>1</v>
      </c>
      <c r="L12" s="103">
        <f t="shared" si="3"/>
        <v>-875</v>
      </c>
      <c r="M12" s="70">
        <v>8000</v>
      </c>
      <c r="N12" s="70"/>
      <c r="O12" s="101">
        <f t="shared" si="5"/>
        <v>147125</v>
      </c>
      <c r="P12" s="61" t="s">
        <v>75</v>
      </c>
    </row>
    <row r="13" spans="1:16" ht="14.4" thickBot="1" x14ac:dyDescent="0.35">
      <c r="A13" s="65" t="s">
        <v>110</v>
      </c>
      <c r="B13" s="104" t="s">
        <v>21</v>
      </c>
      <c r="C13" s="98" t="s">
        <v>22</v>
      </c>
      <c r="D13" s="99" t="s">
        <v>23</v>
      </c>
      <c r="E13" s="66">
        <v>120000</v>
      </c>
      <c r="F13" s="68">
        <v>160</v>
      </c>
      <c r="G13" s="100">
        <f t="shared" si="0"/>
        <v>750</v>
      </c>
      <c r="H13" s="101">
        <f t="shared" si="1"/>
        <v>118125</v>
      </c>
      <c r="I13" s="100">
        <f t="shared" si="2"/>
        <v>118120</v>
      </c>
      <c r="J13" s="69">
        <v>157.5</v>
      </c>
      <c r="K13" s="102">
        <f t="shared" si="4"/>
        <v>2.5</v>
      </c>
      <c r="L13" s="103">
        <f t="shared" si="3"/>
        <v>-1875</v>
      </c>
      <c r="M13" s="70">
        <v>26000</v>
      </c>
      <c r="N13" s="70"/>
      <c r="O13" s="101">
        <f t="shared" si="5"/>
        <v>144125</v>
      </c>
      <c r="P13" s="60" t="s">
        <v>112</v>
      </c>
    </row>
    <row r="14" spans="1:16" ht="14.4" thickBot="1" x14ac:dyDescent="0.35">
      <c r="A14" s="65" t="s">
        <v>26</v>
      </c>
      <c r="B14" s="104" t="s">
        <v>21</v>
      </c>
      <c r="C14" s="98" t="s">
        <v>22</v>
      </c>
      <c r="D14" s="99" t="s">
        <v>23</v>
      </c>
      <c r="E14" s="66">
        <v>100000</v>
      </c>
      <c r="F14" s="68">
        <v>160</v>
      </c>
      <c r="G14" s="100">
        <f t="shared" si="0"/>
        <v>625</v>
      </c>
      <c r="H14" s="101">
        <f t="shared" si="1"/>
        <v>98750</v>
      </c>
      <c r="I14" s="100">
        <f t="shared" si="2"/>
        <v>98750</v>
      </c>
      <c r="J14" s="69">
        <v>158</v>
      </c>
      <c r="K14" s="102">
        <f t="shared" si="4"/>
        <v>2</v>
      </c>
      <c r="L14" s="103">
        <f t="shared" si="3"/>
        <v>-1250</v>
      </c>
      <c r="M14" s="70">
        <v>0</v>
      </c>
      <c r="N14" s="70"/>
      <c r="O14" s="101">
        <f t="shared" si="5"/>
        <v>98750</v>
      </c>
      <c r="P14" s="60" t="s">
        <v>77</v>
      </c>
    </row>
    <row r="15" spans="1:16" ht="14.4" thickBot="1" x14ac:dyDescent="0.35">
      <c r="A15" s="65" t="s">
        <v>27</v>
      </c>
      <c r="B15" s="104" t="s">
        <v>21</v>
      </c>
      <c r="C15" s="98" t="s">
        <v>22</v>
      </c>
      <c r="D15" s="99" t="s">
        <v>23</v>
      </c>
      <c r="E15" s="66">
        <v>100000</v>
      </c>
      <c r="F15" s="68">
        <v>160</v>
      </c>
      <c r="G15" s="100">
        <f t="shared" si="0"/>
        <v>625</v>
      </c>
      <c r="H15" s="101">
        <f t="shared" si="1"/>
        <v>98125</v>
      </c>
      <c r="I15" s="100">
        <f t="shared" si="2"/>
        <v>98120</v>
      </c>
      <c r="J15" s="69">
        <v>157</v>
      </c>
      <c r="K15" s="102">
        <f t="shared" si="4"/>
        <v>3</v>
      </c>
      <c r="L15" s="103">
        <f t="shared" si="3"/>
        <v>-1875</v>
      </c>
      <c r="M15" s="70">
        <v>0</v>
      </c>
      <c r="N15" s="70"/>
      <c r="O15" s="101">
        <f t="shared" si="5"/>
        <v>98125</v>
      </c>
      <c r="P15" s="62" t="s">
        <v>78</v>
      </c>
    </row>
    <row r="16" spans="1:16" ht="14.4" thickBot="1" x14ac:dyDescent="0.35">
      <c r="A16" s="65" t="s">
        <v>29</v>
      </c>
      <c r="B16" s="104" t="s">
        <v>21</v>
      </c>
      <c r="C16" s="98" t="s">
        <v>22</v>
      </c>
      <c r="D16" s="99" t="s">
        <v>23</v>
      </c>
      <c r="E16" s="67">
        <v>100000</v>
      </c>
      <c r="F16" s="68">
        <v>160</v>
      </c>
      <c r="G16" s="100">
        <f t="shared" si="0"/>
        <v>625</v>
      </c>
      <c r="H16" s="101">
        <f t="shared" si="1"/>
        <v>97812.5</v>
      </c>
      <c r="I16" s="100">
        <f t="shared" si="2"/>
        <v>97810</v>
      </c>
      <c r="J16" s="69">
        <v>156.5</v>
      </c>
      <c r="K16" s="102">
        <f t="shared" si="4"/>
        <v>3.5</v>
      </c>
      <c r="L16" s="103">
        <f t="shared" si="3"/>
        <v>-2187.5</v>
      </c>
      <c r="M16" s="70">
        <v>0</v>
      </c>
      <c r="N16" s="70"/>
      <c r="O16" s="101">
        <f t="shared" si="5"/>
        <v>97812.5</v>
      </c>
      <c r="P16" s="62" t="s">
        <v>76</v>
      </c>
    </row>
    <row r="17" spans="1:16" ht="14.4" thickBot="1" x14ac:dyDescent="0.35">
      <c r="A17" s="74" t="s">
        <v>30</v>
      </c>
      <c r="B17" s="105" t="s">
        <v>31</v>
      </c>
      <c r="C17" s="106" t="s">
        <v>32</v>
      </c>
      <c r="D17" s="99" t="s">
        <v>23</v>
      </c>
      <c r="E17" s="67">
        <v>120000</v>
      </c>
      <c r="F17" s="68">
        <v>168</v>
      </c>
      <c r="G17" s="100">
        <f t="shared" si="0"/>
        <v>714.28571428571433</v>
      </c>
      <c r="H17" s="101">
        <f t="shared" si="1"/>
        <v>114892.85714285714</v>
      </c>
      <c r="I17" s="100">
        <f t="shared" si="2"/>
        <v>114890</v>
      </c>
      <c r="J17" s="69">
        <v>160.85</v>
      </c>
      <c r="K17" s="102">
        <f t="shared" si="4"/>
        <v>7.1500000000000057</v>
      </c>
      <c r="L17" s="103">
        <f t="shared" si="3"/>
        <v>-5107.1428571428551</v>
      </c>
      <c r="M17" s="70">
        <v>0</v>
      </c>
      <c r="N17" s="70"/>
      <c r="O17" s="101">
        <f t="shared" si="5"/>
        <v>114892.85714285714</v>
      </c>
      <c r="P17" s="62" t="s">
        <v>79</v>
      </c>
    </row>
    <row r="18" spans="1:16" ht="14.4" thickBot="1" x14ac:dyDescent="0.35">
      <c r="A18" s="74" t="s">
        <v>34</v>
      </c>
      <c r="B18" s="105" t="s">
        <v>31</v>
      </c>
      <c r="C18" s="106" t="s">
        <v>32</v>
      </c>
      <c r="D18" s="99" t="s">
        <v>23</v>
      </c>
      <c r="E18" s="66">
        <v>100000</v>
      </c>
      <c r="F18" s="68">
        <v>168</v>
      </c>
      <c r="G18" s="100">
        <f t="shared" si="0"/>
        <v>595.23809523809518</v>
      </c>
      <c r="H18" s="101">
        <f t="shared" si="1"/>
        <v>98809.523809523802</v>
      </c>
      <c r="I18" s="100">
        <f t="shared" si="2"/>
        <v>98800</v>
      </c>
      <c r="J18" s="69">
        <v>166</v>
      </c>
      <c r="K18" s="102">
        <f t="shared" si="4"/>
        <v>2</v>
      </c>
      <c r="L18" s="103">
        <f t="shared" si="3"/>
        <v>-1190.4761904761981</v>
      </c>
      <c r="M18" s="70">
        <v>0</v>
      </c>
      <c r="N18" s="70"/>
      <c r="O18" s="101">
        <f t="shared" si="5"/>
        <v>98809.523809523802</v>
      </c>
      <c r="P18" s="62" t="s">
        <v>80</v>
      </c>
    </row>
    <row r="19" spans="1:16" ht="14.4" thickBot="1" x14ac:dyDescent="0.35">
      <c r="A19" s="74" t="s">
        <v>36</v>
      </c>
      <c r="B19" s="105" t="s">
        <v>31</v>
      </c>
      <c r="C19" s="106" t="s">
        <v>32</v>
      </c>
      <c r="D19" s="99" t="s">
        <v>23</v>
      </c>
      <c r="E19" s="67">
        <v>120000</v>
      </c>
      <c r="F19" s="68">
        <v>168</v>
      </c>
      <c r="G19" s="100">
        <f t="shared" si="0"/>
        <v>714.28571428571433</v>
      </c>
      <c r="H19" s="101">
        <f t="shared" si="1"/>
        <v>120000.00000000001</v>
      </c>
      <c r="I19" s="100">
        <f t="shared" si="2"/>
        <v>120000</v>
      </c>
      <c r="J19" s="69">
        <v>168</v>
      </c>
      <c r="K19" s="102">
        <f t="shared" si="4"/>
        <v>0</v>
      </c>
      <c r="L19" s="103">
        <f t="shared" si="3"/>
        <v>0</v>
      </c>
      <c r="M19" s="70">
        <v>0</v>
      </c>
      <c r="N19" s="70"/>
      <c r="O19" s="101">
        <f t="shared" si="5"/>
        <v>120000.00000000001</v>
      </c>
      <c r="P19" s="62" t="s">
        <v>82</v>
      </c>
    </row>
    <row r="20" spans="1:16" ht="14.4" thickBot="1" x14ac:dyDescent="0.35">
      <c r="A20" s="75" t="s">
        <v>37</v>
      </c>
      <c r="B20" s="105" t="s">
        <v>31</v>
      </c>
      <c r="C20" s="106" t="s">
        <v>32</v>
      </c>
      <c r="D20" s="99" t="s">
        <v>23</v>
      </c>
      <c r="E20" s="66">
        <v>100000</v>
      </c>
      <c r="F20" s="68">
        <v>168</v>
      </c>
      <c r="G20" s="100">
        <f t="shared" si="0"/>
        <v>595.23809523809518</v>
      </c>
      <c r="H20" s="101">
        <f t="shared" si="1"/>
        <v>99404.761904761894</v>
      </c>
      <c r="I20" s="100">
        <f t="shared" si="2"/>
        <v>99400</v>
      </c>
      <c r="J20" s="69">
        <v>167</v>
      </c>
      <c r="K20" s="102">
        <f t="shared" si="4"/>
        <v>1</v>
      </c>
      <c r="L20" s="103">
        <f t="shared" si="3"/>
        <v>-595.23809523810633</v>
      </c>
      <c r="M20" s="70">
        <v>0</v>
      </c>
      <c r="N20" s="70"/>
      <c r="O20" s="101">
        <f t="shared" si="5"/>
        <v>99404.761904761894</v>
      </c>
      <c r="P20" s="62" t="s">
        <v>83</v>
      </c>
    </row>
    <row r="21" spans="1:16" ht="14.4" thickBot="1" x14ac:dyDescent="0.35">
      <c r="A21" s="74" t="s">
        <v>38</v>
      </c>
      <c r="B21" s="105" t="s">
        <v>31</v>
      </c>
      <c r="C21" s="106" t="s">
        <v>32</v>
      </c>
      <c r="D21" s="99" t="s">
        <v>23</v>
      </c>
      <c r="E21" s="66">
        <v>100000</v>
      </c>
      <c r="F21" s="68">
        <v>168</v>
      </c>
      <c r="G21" s="100">
        <f t="shared" si="0"/>
        <v>595.23809523809518</v>
      </c>
      <c r="H21" s="101">
        <f t="shared" si="1"/>
        <v>99107.142857142855</v>
      </c>
      <c r="I21" s="100">
        <f t="shared" si="2"/>
        <v>99100</v>
      </c>
      <c r="J21" s="69">
        <v>166.5</v>
      </c>
      <c r="K21" s="102">
        <f t="shared" si="4"/>
        <v>1.5</v>
      </c>
      <c r="L21" s="103">
        <f t="shared" si="3"/>
        <v>-892.85714285714494</v>
      </c>
      <c r="M21" s="70">
        <v>0</v>
      </c>
      <c r="N21" s="70"/>
      <c r="O21" s="101">
        <f t="shared" si="5"/>
        <v>99107.142857142855</v>
      </c>
      <c r="P21" s="62" t="s">
        <v>84</v>
      </c>
    </row>
    <row r="22" spans="1:16" ht="14.4" thickBot="1" x14ac:dyDescent="0.35">
      <c r="A22" s="74" t="s">
        <v>39</v>
      </c>
      <c r="B22" s="105" t="s">
        <v>31</v>
      </c>
      <c r="C22" s="106" t="s">
        <v>32</v>
      </c>
      <c r="D22" s="99" t="s">
        <v>23</v>
      </c>
      <c r="E22" s="67">
        <v>120000</v>
      </c>
      <c r="F22" s="68">
        <v>168</v>
      </c>
      <c r="G22" s="100">
        <f t="shared" si="0"/>
        <v>714.28571428571433</v>
      </c>
      <c r="H22" s="101">
        <f t="shared" si="1"/>
        <v>113214.28571428572</v>
      </c>
      <c r="I22" s="100">
        <f t="shared" si="2"/>
        <v>113210</v>
      </c>
      <c r="J22" s="69">
        <v>158.5</v>
      </c>
      <c r="K22" s="102">
        <f t="shared" si="4"/>
        <v>9.5</v>
      </c>
      <c r="L22" s="103">
        <f t="shared" si="3"/>
        <v>-6785.7142857142753</v>
      </c>
      <c r="M22" s="70">
        <v>0</v>
      </c>
      <c r="N22" s="70"/>
      <c r="O22" s="101">
        <f t="shared" si="5"/>
        <v>113214.28571428572</v>
      </c>
      <c r="P22" s="62" t="s">
        <v>85</v>
      </c>
    </row>
    <row r="23" spans="1:16" ht="14.4" thickBot="1" x14ac:dyDescent="0.35">
      <c r="A23" s="74" t="s">
        <v>41</v>
      </c>
      <c r="B23" s="105" t="s">
        <v>31</v>
      </c>
      <c r="C23" s="106" t="s">
        <v>32</v>
      </c>
      <c r="D23" s="99" t="s">
        <v>23</v>
      </c>
      <c r="E23" s="67">
        <v>120000</v>
      </c>
      <c r="F23" s="68">
        <v>168</v>
      </c>
      <c r="G23" s="100">
        <f t="shared" si="0"/>
        <v>714.28571428571433</v>
      </c>
      <c r="H23" s="101">
        <f t="shared" si="1"/>
        <v>120000.00000000001</v>
      </c>
      <c r="I23" s="100">
        <f t="shared" si="2"/>
        <v>120000</v>
      </c>
      <c r="J23" s="69">
        <v>168</v>
      </c>
      <c r="K23" s="102">
        <f t="shared" si="4"/>
        <v>0</v>
      </c>
      <c r="L23" s="103">
        <f t="shared" si="3"/>
        <v>0</v>
      </c>
      <c r="M23" s="78">
        <v>0</v>
      </c>
      <c r="N23" s="70"/>
      <c r="O23" s="101">
        <f t="shared" si="5"/>
        <v>120000.00000000001</v>
      </c>
      <c r="P23" s="62" t="s">
        <v>86</v>
      </c>
    </row>
    <row r="24" spans="1:16" ht="14.4" thickBot="1" x14ac:dyDescent="0.35">
      <c r="A24" s="74" t="s">
        <v>42</v>
      </c>
      <c r="B24" s="105" t="s">
        <v>31</v>
      </c>
      <c r="C24" s="106" t="s">
        <v>32</v>
      </c>
      <c r="D24" s="99" t="s">
        <v>23</v>
      </c>
      <c r="E24" s="67">
        <v>120000</v>
      </c>
      <c r="F24" s="68">
        <v>168</v>
      </c>
      <c r="G24" s="100">
        <f t="shared" si="0"/>
        <v>714.28571428571433</v>
      </c>
      <c r="H24" s="101">
        <f t="shared" si="1"/>
        <v>123571.42857142858</v>
      </c>
      <c r="I24" s="100">
        <f t="shared" si="2"/>
        <v>123570</v>
      </c>
      <c r="J24" s="69">
        <v>173</v>
      </c>
      <c r="K24" s="102">
        <f t="shared" si="4"/>
        <v>-5</v>
      </c>
      <c r="L24" s="103">
        <f t="shared" si="3"/>
        <v>3571.4285714285797</v>
      </c>
      <c r="M24" s="78">
        <v>0</v>
      </c>
      <c r="N24" s="70"/>
      <c r="O24" s="101">
        <f t="shared" si="5"/>
        <v>123571.42857142858</v>
      </c>
      <c r="P24" s="62" t="s">
        <v>87</v>
      </c>
    </row>
    <row r="25" spans="1:16" ht="14.4" thickBot="1" x14ac:dyDescent="0.35">
      <c r="A25" s="74" t="s">
        <v>43</v>
      </c>
      <c r="B25" s="105" t="s">
        <v>31</v>
      </c>
      <c r="C25" s="106" t="s">
        <v>32</v>
      </c>
      <c r="D25" s="99" t="s">
        <v>23</v>
      </c>
      <c r="E25" s="67">
        <v>120000</v>
      </c>
      <c r="F25" s="68">
        <v>168</v>
      </c>
      <c r="G25" s="100">
        <f t="shared" si="0"/>
        <v>714.28571428571433</v>
      </c>
      <c r="H25" s="101">
        <f t="shared" si="1"/>
        <v>115714.28571428572</v>
      </c>
      <c r="I25" s="100">
        <f t="shared" si="2"/>
        <v>115710</v>
      </c>
      <c r="J25" s="69">
        <v>162</v>
      </c>
      <c r="K25" s="102">
        <f t="shared" si="4"/>
        <v>6</v>
      </c>
      <c r="L25" s="103">
        <f t="shared" si="3"/>
        <v>-4285.7142857142753</v>
      </c>
      <c r="M25" s="78">
        <v>0</v>
      </c>
      <c r="N25" s="70"/>
      <c r="O25" s="101">
        <f t="shared" si="5"/>
        <v>115714.28571428572</v>
      </c>
      <c r="P25" s="62" t="s">
        <v>88</v>
      </c>
    </row>
    <row r="26" spans="1:16" ht="14.4" thickBot="1" x14ac:dyDescent="0.35">
      <c r="A26" s="74" t="s">
        <v>44</v>
      </c>
      <c r="B26" s="105" t="s">
        <v>31</v>
      </c>
      <c r="C26" s="106" t="s">
        <v>32</v>
      </c>
      <c r="D26" s="99" t="s">
        <v>23</v>
      </c>
      <c r="E26" s="67">
        <v>120000</v>
      </c>
      <c r="F26" s="68">
        <v>168</v>
      </c>
      <c r="G26" s="100">
        <f t="shared" si="0"/>
        <v>714.28571428571433</v>
      </c>
      <c r="H26" s="101">
        <f t="shared" si="1"/>
        <v>111107.14285714287</v>
      </c>
      <c r="I26" s="100">
        <f t="shared" si="2"/>
        <v>111100</v>
      </c>
      <c r="J26" s="69">
        <v>155.55000000000001</v>
      </c>
      <c r="K26" s="102">
        <f t="shared" si="4"/>
        <v>12.449999999999989</v>
      </c>
      <c r="L26" s="103">
        <f t="shared" si="3"/>
        <v>-8892.8571428571304</v>
      </c>
      <c r="M26" s="78">
        <v>0</v>
      </c>
      <c r="N26" s="70"/>
      <c r="O26" s="101">
        <f t="shared" si="5"/>
        <v>111107.14285714287</v>
      </c>
      <c r="P26" s="62" t="s">
        <v>89</v>
      </c>
    </row>
    <row r="27" spans="1:16" ht="14.4" thickBot="1" x14ac:dyDescent="0.35">
      <c r="A27" s="74" t="s">
        <v>45</v>
      </c>
      <c r="B27" s="105" t="s">
        <v>31</v>
      </c>
      <c r="C27" s="106" t="s">
        <v>32</v>
      </c>
      <c r="D27" s="99" t="s">
        <v>23</v>
      </c>
      <c r="E27" s="66">
        <v>100000</v>
      </c>
      <c r="F27" s="68">
        <v>168</v>
      </c>
      <c r="G27" s="100">
        <f t="shared" si="0"/>
        <v>595.23809523809518</v>
      </c>
      <c r="H27" s="101">
        <f t="shared" si="1"/>
        <v>95238.095238095237</v>
      </c>
      <c r="I27" s="100">
        <f t="shared" si="2"/>
        <v>95230</v>
      </c>
      <c r="J27" s="69">
        <v>160</v>
      </c>
      <c r="K27" s="102">
        <f t="shared" si="4"/>
        <v>8</v>
      </c>
      <c r="L27" s="103">
        <f t="shared" si="3"/>
        <v>-4761.9047619047633</v>
      </c>
      <c r="M27" s="78">
        <v>0</v>
      </c>
      <c r="N27" s="70"/>
      <c r="O27" s="101">
        <f t="shared" si="5"/>
        <v>95238.095238095237</v>
      </c>
      <c r="P27" s="62" t="s">
        <v>90</v>
      </c>
    </row>
    <row r="28" spans="1:16" ht="14.4" thickBot="1" x14ac:dyDescent="0.35">
      <c r="A28" s="75" t="s">
        <v>46</v>
      </c>
      <c r="B28" s="105" t="s">
        <v>31</v>
      </c>
      <c r="C28" s="106" t="s">
        <v>32</v>
      </c>
      <c r="D28" s="99" t="s">
        <v>23</v>
      </c>
      <c r="E28" s="66">
        <v>100000</v>
      </c>
      <c r="F28" s="68">
        <v>168</v>
      </c>
      <c r="G28" s="100">
        <f t="shared" si="0"/>
        <v>595.23809523809518</v>
      </c>
      <c r="H28" s="101">
        <f t="shared" si="1"/>
        <v>99999.999999999985</v>
      </c>
      <c r="I28" s="100">
        <f t="shared" si="2"/>
        <v>100000</v>
      </c>
      <c r="J28" s="69">
        <v>168</v>
      </c>
      <c r="K28" s="102">
        <f t="shared" si="4"/>
        <v>0</v>
      </c>
      <c r="L28" s="103">
        <f t="shared" si="3"/>
        <v>0</v>
      </c>
      <c r="M28" s="78">
        <v>0</v>
      </c>
      <c r="N28" s="70"/>
      <c r="O28" s="101">
        <f t="shared" si="5"/>
        <v>99999.999999999985</v>
      </c>
      <c r="P28" s="62" t="s">
        <v>91</v>
      </c>
    </row>
    <row r="29" spans="1:16" ht="14.4" thickBot="1" x14ac:dyDescent="0.35">
      <c r="A29" s="74" t="s">
        <v>47</v>
      </c>
      <c r="B29" s="105" t="s">
        <v>31</v>
      </c>
      <c r="C29" s="106" t="s">
        <v>32</v>
      </c>
      <c r="D29" s="99" t="s">
        <v>23</v>
      </c>
      <c r="E29" s="67">
        <v>120000</v>
      </c>
      <c r="F29" s="68">
        <v>168</v>
      </c>
      <c r="G29" s="100">
        <f t="shared" si="0"/>
        <v>714.28571428571433</v>
      </c>
      <c r="H29" s="101">
        <f t="shared" si="1"/>
        <v>123571.42857142858</v>
      </c>
      <c r="I29" s="100">
        <f t="shared" si="2"/>
        <v>123570</v>
      </c>
      <c r="J29" s="69">
        <v>173</v>
      </c>
      <c r="K29" s="102">
        <f t="shared" si="4"/>
        <v>-5</v>
      </c>
      <c r="L29" s="103">
        <f t="shared" si="3"/>
        <v>3571.4285714285797</v>
      </c>
      <c r="M29" s="78">
        <v>0</v>
      </c>
      <c r="N29" s="70"/>
      <c r="O29" s="101">
        <f t="shared" si="5"/>
        <v>123571.42857142858</v>
      </c>
      <c r="P29" s="62" t="s">
        <v>92</v>
      </c>
    </row>
    <row r="30" spans="1:16" ht="14.4" thickBot="1" x14ac:dyDescent="0.35">
      <c r="A30" s="74" t="s">
        <v>48</v>
      </c>
      <c r="B30" s="105" t="s">
        <v>31</v>
      </c>
      <c r="C30" s="106" t="s">
        <v>32</v>
      </c>
      <c r="D30" s="99" t="s">
        <v>23</v>
      </c>
      <c r="E30" s="67">
        <v>120000</v>
      </c>
      <c r="F30" s="68">
        <v>168</v>
      </c>
      <c r="G30" s="100">
        <f t="shared" si="0"/>
        <v>714.28571428571433</v>
      </c>
      <c r="H30" s="101">
        <f t="shared" si="1"/>
        <v>117550</v>
      </c>
      <c r="I30" s="100">
        <f t="shared" si="2"/>
        <v>117550</v>
      </c>
      <c r="J30" s="69">
        <v>164.57</v>
      </c>
      <c r="K30" s="102">
        <f t="shared" si="4"/>
        <v>3.4300000000000068</v>
      </c>
      <c r="L30" s="103">
        <f t="shared" si="3"/>
        <v>-2450</v>
      </c>
      <c r="M30" s="78">
        <v>0</v>
      </c>
      <c r="N30" s="70"/>
      <c r="O30" s="101">
        <f t="shared" si="5"/>
        <v>117550</v>
      </c>
      <c r="P30" s="62" t="s">
        <v>93</v>
      </c>
    </row>
    <row r="31" spans="1:16" ht="14.4" thickBot="1" x14ac:dyDescent="0.35">
      <c r="A31" s="74" t="s">
        <v>49</v>
      </c>
      <c r="B31" s="105" t="s">
        <v>31</v>
      </c>
      <c r="C31" s="106" t="s">
        <v>32</v>
      </c>
      <c r="D31" s="99" t="s">
        <v>23</v>
      </c>
      <c r="E31" s="66">
        <v>100000</v>
      </c>
      <c r="F31" s="68">
        <v>168</v>
      </c>
      <c r="G31" s="100">
        <f t="shared" si="0"/>
        <v>595.23809523809518</v>
      </c>
      <c r="H31" s="101">
        <f t="shared" si="1"/>
        <v>99999.999999999985</v>
      </c>
      <c r="I31" s="100">
        <f t="shared" si="2"/>
        <v>100000</v>
      </c>
      <c r="J31" s="69">
        <v>168</v>
      </c>
      <c r="K31" s="102">
        <f t="shared" si="4"/>
        <v>0</v>
      </c>
      <c r="L31" s="103">
        <f t="shared" si="3"/>
        <v>0</v>
      </c>
      <c r="M31" s="78">
        <v>0</v>
      </c>
      <c r="N31" s="70"/>
      <c r="O31" s="101">
        <f t="shared" si="5"/>
        <v>99999.999999999985</v>
      </c>
      <c r="P31" s="62" t="s">
        <v>94</v>
      </c>
    </row>
    <row r="32" spans="1:16" ht="14.4" thickBot="1" x14ac:dyDescent="0.35">
      <c r="A32" s="74" t="s">
        <v>50</v>
      </c>
      <c r="B32" s="105" t="s">
        <v>31</v>
      </c>
      <c r="C32" s="106" t="s">
        <v>32</v>
      </c>
      <c r="D32" s="99" t="s">
        <v>23</v>
      </c>
      <c r="E32" s="66">
        <v>100000</v>
      </c>
      <c r="F32" s="68">
        <v>168</v>
      </c>
      <c r="G32" s="100">
        <f t="shared" si="0"/>
        <v>595.23809523809518</v>
      </c>
      <c r="H32" s="101">
        <f t="shared" si="1"/>
        <v>99999.999999999985</v>
      </c>
      <c r="I32" s="100">
        <f t="shared" si="2"/>
        <v>100000</v>
      </c>
      <c r="J32" s="69">
        <v>168</v>
      </c>
      <c r="K32" s="102">
        <f t="shared" si="4"/>
        <v>0</v>
      </c>
      <c r="L32" s="103">
        <f t="shared" si="3"/>
        <v>0</v>
      </c>
      <c r="M32" s="78">
        <v>0</v>
      </c>
      <c r="N32" s="70"/>
      <c r="O32" s="101">
        <f t="shared" si="5"/>
        <v>99999.999999999985</v>
      </c>
      <c r="P32" s="62" t="s">
        <v>95</v>
      </c>
    </row>
    <row r="33" spans="1:16" ht="14.4" thickBot="1" x14ac:dyDescent="0.35">
      <c r="A33" s="74" t="s">
        <v>51</v>
      </c>
      <c r="B33" s="105" t="s">
        <v>31</v>
      </c>
      <c r="C33" s="106" t="s">
        <v>32</v>
      </c>
      <c r="D33" s="99" t="s">
        <v>23</v>
      </c>
      <c r="E33" s="66">
        <v>100000</v>
      </c>
      <c r="F33" s="68">
        <v>168</v>
      </c>
      <c r="G33" s="100">
        <f t="shared" si="0"/>
        <v>595.23809523809518</v>
      </c>
      <c r="H33" s="101">
        <f t="shared" si="1"/>
        <v>99404.761904761894</v>
      </c>
      <c r="I33" s="100">
        <f t="shared" si="2"/>
        <v>99400</v>
      </c>
      <c r="J33" s="69">
        <v>167</v>
      </c>
      <c r="K33" s="102">
        <f t="shared" si="4"/>
        <v>1</v>
      </c>
      <c r="L33" s="103">
        <f t="shared" si="3"/>
        <v>-595.23809523810633</v>
      </c>
      <c r="M33" s="78">
        <v>0</v>
      </c>
      <c r="N33" s="70"/>
      <c r="O33" s="101">
        <f t="shared" si="5"/>
        <v>99404.761904761894</v>
      </c>
      <c r="P33" s="62" t="s">
        <v>96</v>
      </c>
    </row>
    <row r="34" spans="1:16" ht="14.4" thickBot="1" x14ac:dyDescent="0.35">
      <c r="A34" s="74" t="s">
        <v>53</v>
      </c>
      <c r="B34" s="105" t="s">
        <v>31</v>
      </c>
      <c r="C34" s="106" t="s">
        <v>32</v>
      </c>
      <c r="D34" s="99" t="s">
        <v>23</v>
      </c>
      <c r="E34" s="67">
        <v>120000</v>
      </c>
      <c r="F34" s="68">
        <v>168</v>
      </c>
      <c r="G34" s="100">
        <f t="shared" si="0"/>
        <v>714.28571428571433</v>
      </c>
      <c r="H34" s="101">
        <f t="shared" si="1"/>
        <v>83128.571428571435</v>
      </c>
      <c r="I34" s="100">
        <f t="shared" si="2"/>
        <v>83120</v>
      </c>
      <c r="J34" s="69">
        <v>116.38</v>
      </c>
      <c r="K34" s="102">
        <f t="shared" si="4"/>
        <v>51.620000000000005</v>
      </c>
      <c r="L34" s="103">
        <f t="shared" si="3"/>
        <v>-36871.428571428565</v>
      </c>
      <c r="M34" s="78">
        <v>0</v>
      </c>
      <c r="N34" s="70"/>
      <c r="O34" s="101">
        <f t="shared" si="5"/>
        <v>83128.571428571435</v>
      </c>
      <c r="P34" s="62" t="s">
        <v>97</v>
      </c>
    </row>
    <row r="35" spans="1:16" ht="14.4" thickBot="1" x14ac:dyDescent="0.35">
      <c r="A35" s="74" t="s">
        <v>125</v>
      </c>
      <c r="B35" s="105" t="s">
        <v>31</v>
      </c>
      <c r="C35" s="106" t="s">
        <v>32</v>
      </c>
      <c r="D35" s="99" t="s">
        <v>23</v>
      </c>
      <c r="E35" s="67">
        <v>120000</v>
      </c>
      <c r="F35" s="68">
        <v>168</v>
      </c>
      <c r="G35" s="100">
        <f t="shared" si="0"/>
        <v>714.28571428571433</v>
      </c>
      <c r="H35" s="101">
        <f t="shared" si="1"/>
        <v>120000.00000000001</v>
      </c>
      <c r="I35" s="100">
        <f t="shared" si="2"/>
        <v>120000</v>
      </c>
      <c r="J35" s="69">
        <v>168</v>
      </c>
      <c r="K35" s="102">
        <f t="shared" si="4"/>
        <v>0</v>
      </c>
      <c r="L35" s="103">
        <f t="shared" si="3"/>
        <v>0</v>
      </c>
      <c r="M35" s="78">
        <v>0</v>
      </c>
      <c r="N35" s="70"/>
      <c r="O35" s="101">
        <f t="shared" si="5"/>
        <v>120000.00000000001</v>
      </c>
      <c r="P35" s="62" t="s">
        <v>98</v>
      </c>
    </row>
    <row r="36" spans="1:16" ht="14.4" thickBot="1" x14ac:dyDescent="0.35">
      <c r="A36" s="74" t="s">
        <v>55</v>
      </c>
      <c r="B36" s="105" t="s">
        <v>31</v>
      </c>
      <c r="C36" s="106" t="s">
        <v>32</v>
      </c>
      <c r="D36" s="99" t="s">
        <v>23</v>
      </c>
      <c r="E36" s="67">
        <v>120000</v>
      </c>
      <c r="F36" s="68">
        <v>168</v>
      </c>
      <c r="G36" s="100">
        <f t="shared" si="0"/>
        <v>714.28571428571433</v>
      </c>
      <c r="H36" s="101">
        <f t="shared" si="1"/>
        <v>124285.71428571429</v>
      </c>
      <c r="I36" s="100">
        <f t="shared" si="2"/>
        <v>124280</v>
      </c>
      <c r="J36" s="69">
        <v>174</v>
      </c>
      <c r="K36" s="102">
        <f t="shared" si="4"/>
        <v>-6</v>
      </c>
      <c r="L36" s="103">
        <f t="shared" si="3"/>
        <v>4285.7142857142899</v>
      </c>
      <c r="M36" s="78">
        <v>0</v>
      </c>
      <c r="N36" s="70"/>
      <c r="O36" s="101">
        <f t="shared" si="5"/>
        <v>124285.71428571429</v>
      </c>
      <c r="P36" s="62" t="s">
        <v>99</v>
      </c>
    </row>
    <row r="37" spans="1:16" ht="14.4" thickBot="1" x14ac:dyDescent="0.35">
      <c r="A37" s="74" t="s">
        <v>126</v>
      </c>
      <c r="B37" s="105" t="s">
        <v>31</v>
      </c>
      <c r="C37" s="106" t="s">
        <v>32</v>
      </c>
      <c r="D37" s="99" t="s">
        <v>23</v>
      </c>
      <c r="E37" s="66">
        <v>100000</v>
      </c>
      <c r="F37" s="68">
        <v>168</v>
      </c>
      <c r="G37" s="100">
        <f t="shared" si="0"/>
        <v>595.23809523809518</v>
      </c>
      <c r="H37" s="101">
        <f t="shared" si="1"/>
        <v>95238.095238095237</v>
      </c>
      <c r="I37" s="100">
        <f t="shared" si="2"/>
        <v>95230</v>
      </c>
      <c r="J37" s="69">
        <v>160</v>
      </c>
      <c r="K37" s="102">
        <f t="shared" si="4"/>
        <v>8</v>
      </c>
      <c r="L37" s="103">
        <f t="shared" si="3"/>
        <v>-4761.9047619047633</v>
      </c>
      <c r="M37" s="78">
        <v>0</v>
      </c>
      <c r="N37" s="70"/>
      <c r="O37" s="101">
        <f t="shared" si="5"/>
        <v>95238.095238095237</v>
      </c>
      <c r="P37" s="62" t="s">
        <v>133</v>
      </c>
    </row>
    <row r="38" spans="1:16" ht="14.4" thickBot="1" x14ac:dyDescent="0.35">
      <c r="A38" s="74" t="s">
        <v>127</v>
      </c>
      <c r="B38" s="105" t="s">
        <v>31</v>
      </c>
      <c r="C38" s="106" t="s">
        <v>32</v>
      </c>
      <c r="D38" s="99" t="s">
        <v>23</v>
      </c>
      <c r="E38" s="66">
        <v>100000</v>
      </c>
      <c r="F38" s="68">
        <v>168</v>
      </c>
      <c r="G38" s="100">
        <f t="shared" si="0"/>
        <v>595.23809523809518</v>
      </c>
      <c r="H38" s="101">
        <f t="shared" si="1"/>
        <v>99089.28571428571</v>
      </c>
      <c r="I38" s="100">
        <f t="shared" si="2"/>
        <v>99080</v>
      </c>
      <c r="J38" s="69">
        <v>166.47</v>
      </c>
      <c r="K38" s="102">
        <f t="shared" si="4"/>
        <v>1.5300000000000011</v>
      </c>
      <c r="L38" s="103">
        <f t="shared" si="3"/>
        <v>-910.71428571428987</v>
      </c>
      <c r="M38" s="78">
        <v>0</v>
      </c>
      <c r="N38" s="70"/>
      <c r="O38" s="101">
        <f t="shared" si="5"/>
        <v>99089.28571428571</v>
      </c>
      <c r="P38" s="62" t="s">
        <v>103</v>
      </c>
    </row>
    <row r="39" spans="1:16" ht="14.4" thickBot="1" x14ac:dyDescent="0.35">
      <c r="A39" s="75" t="s">
        <v>113</v>
      </c>
      <c r="B39" s="105" t="s">
        <v>31</v>
      </c>
      <c r="C39" s="106" t="s">
        <v>32</v>
      </c>
      <c r="D39" s="99" t="s">
        <v>23</v>
      </c>
      <c r="E39" s="66">
        <v>100000</v>
      </c>
      <c r="F39" s="68">
        <v>168</v>
      </c>
      <c r="G39" s="100">
        <f t="shared" si="0"/>
        <v>595.23809523809518</v>
      </c>
      <c r="H39" s="101">
        <f t="shared" si="1"/>
        <v>99601.190476190473</v>
      </c>
      <c r="I39" s="100">
        <f t="shared" si="2"/>
        <v>99600</v>
      </c>
      <c r="J39" s="69">
        <v>167.33</v>
      </c>
      <c r="K39" s="102">
        <f t="shared" si="4"/>
        <v>0.66999999999998749</v>
      </c>
      <c r="L39" s="103">
        <f t="shared" si="3"/>
        <v>-398.80952380952658</v>
      </c>
      <c r="M39" s="78">
        <v>0</v>
      </c>
      <c r="N39" s="70"/>
      <c r="O39" s="101">
        <f t="shared" si="5"/>
        <v>99601.190476190473</v>
      </c>
      <c r="P39" s="62" t="s">
        <v>104</v>
      </c>
    </row>
    <row r="40" spans="1:16" ht="14.4" thickBot="1" x14ac:dyDescent="0.35">
      <c r="A40" s="74" t="s">
        <v>128</v>
      </c>
      <c r="B40" s="105" t="s">
        <v>31</v>
      </c>
      <c r="C40" s="106" t="s">
        <v>32</v>
      </c>
      <c r="D40" s="99" t="s">
        <v>23</v>
      </c>
      <c r="E40" s="67">
        <v>120000</v>
      </c>
      <c r="F40" s="68">
        <v>168</v>
      </c>
      <c r="G40" s="100">
        <f t="shared" si="0"/>
        <v>714.28571428571433</v>
      </c>
      <c r="H40" s="101">
        <f t="shared" si="1"/>
        <v>120000.00000000001</v>
      </c>
      <c r="I40" s="100">
        <f t="shared" si="2"/>
        <v>120000</v>
      </c>
      <c r="J40" s="69">
        <v>168</v>
      </c>
      <c r="K40" s="102">
        <f t="shared" si="4"/>
        <v>0</v>
      </c>
      <c r="L40" s="103">
        <f t="shared" si="3"/>
        <v>0</v>
      </c>
      <c r="M40" s="78">
        <v>0</v>
      </c>
      <c r="N40" s="70"/>
      <c r="O40" s="101">
        <f t="shared" si="5"/>
        <v>120000.00000000001</v>
      </c>
      <c r="P40" s="62" t="s">
        <v>105</v>
      </c>
    </row>
    <row r="41" spans="1:16" ht="14.4" thickBot="1" x14ac:dyDescent="0.35">
      <c r="A41" s="74" t="s">
        <v>58</v>
      </c>
      <c r="B41" s="105" t="s">
        <v>31</v>
      </c>
      <c r="C41" s="106" t="s">
        <v>32</v>
      </c>
      <c r="D41" s="99" t="s">
        <v>23</v>
      </c>
      <c r="E41" s="67">
        <v>120000</v>
      </c>
      <c r="F41" s="68">
        <v>168</v>
      </c>
      <c r="G41" s="100">
        <f t="shared" si="0"/>
        <v>714.28571428571433</v>
      </c>
      <c r="H41" s="101">
        <f t="shared" si="1"/>
        <v>109085.71428571429</v>
      </c>
      <c r="I41" s="100">
        <f t="shared" si="2"/>
        <v>109080</v>
      </c>
      <c r="J41" s="69">
        <v>152.72</v>
      </c>
      <c r="K41" s="102">
        <f t="shared" si="4"/>
        <v>15.280000000000001</v>
      </c>
      <c r="L41" s="103">
        <f t="shared" si="3"/>
        <v>-10914.28571428571</v>
      </c>
      <c r="M41" s="78">
        <v>0</v>
      </c>
      <c r="N41" s="70"/>
      <c r="O41" s="101">
        <f t="shared" si="5"/>
        <v>109085.71428571429</v>
      </c>
      <c r="P41" s="62" t="s">
        <v>106</v>
      </c>
    </row>
    <row r="42" spans="1:16" ht="14.4" thickBot="1" x14ac:dyDescent="0.35">
      <c r="A42" s="74" t="s">
        <v>129</v>
      </c>
      <c r="B42" s="105" t="s">
        <v>31</v>
      </c>
      <c r="C42" s="106" t="s">
        <v>32</v>
      </c>
      <c r="D42" s="99" t="s">
        <v>23</v>
      </c>
      <c r="E42" s="67">
        <v>120000</v>
      </c>
      <c r="F42" s="68">
        <v>168</v>
      </c>
      <c r="G42" s="100">
        <f t="shared" si="0"/>
        <v>714.28571428571433</v>
      </c>
      <c r="H42" s="101">
        <f t="shared" si="1"/>
        <v>120000.00000000001</v>
      </c>
      <c r="I42" s="100">
        <f t="shared" si="2"/>
        <v>120000</v>
      </c>
      <c r="J42" s="69">
        <v>168</v>
      </c>
      <c r="K42" s="102">
        <f t="shared" si="4"/>
        <v>0</v>
      </c>
      <c r="L42" s="103">
        <f t="shared" si="3"/>
        <v>0</v>
      </c>
      <c r="M42" s="78">
        <v>0</v>
      </c>
      <c r="N42" s="70"/>
      <c r="O42" s="101">
        <f t="shared" si="5"/>
        <v>120000.00000000001</v>
      </c>
      <c r="P42" s="62" t="s">
        <v>107</v>
      </c>
    </row>
    <row r="43" spans="1:16" ht="14.4" thickBot="1" x14ac:dyDescent="0.35">
      <c r="A43" s="74" t="s">
        <v>61</v>
      </c>
      <c r="B43" s="105" t="s">
        <v>31</v>
      </c>
      <c r="C43" s="106" t="s">
        <v>32</v>
      </c>
      <c r="D43" s="99" t="s">
        <v>23</v>
      </c>
      <c r="E43" s="66">
        <v>100000</v>
      </c>
      <c r="F43" s="68">
        <v>168</v>
      </c>
      <c r="G43" s="100">
        <f t="shared" si="0"/>
        <v>595.23809523809518</v>
      </c>
      <c r="H43" s="101">
        <f t="shared" si="1"/>
        <v>99702.380952380947</v>
      </c>
      <c r="I43" s="100">
        <f t="shared" si="2"/>
        <v>99700</v>
      </c>
      <c r="J43" s="69">
        <v>167.5</v>
      </c>
      <c r="K43" s="102">
        <f t="shared" si="4"/>
        <v>0.5</v>
      </c>
      <c r="L43" s="103">
        <f t="shared" si="3"/>
        <v>-297.61904761905316</v>
      </c>
      <c r="M43" s="78">
        <v>0</v>
      </c>
      <c r="N43" s="70"/>
      <c r="O43" s="101">
        <f t="shared" si="5"/>
        <v>99702.380952380947</v>
      </c>
      <c r="P43" s="62" t="s">
        <v>108</v>
      </c>
    </row>
    <row r="44" spans="1:16" ht="14.4" thickBot="1" x14ac:dyDescent="0.35">
      <c r="A44" s="76" t="s">
        <v>62</v>
      </c>
      <c r="B44" s="105" t="s">
        <v>31</v>
      </c>
      <c r="C44" s="106" t="s">
        <v>32</v>
      </c>
      <c r="D44" s="99" t="s">
        <v>23</v>
      </c>
      <c r="E44" s="67">
        <v>120000</v>
      </c>
      <c r="F44" s="68">
        <v>168</v>
      </c>
      <c r="G44" s="100">
        <f t="shared" si="0"/>
        <v>714.28571428571433</v>
      </c>
      <c r="H44" s="101">
        <f t="shared" si="1"/>
        <v>117035.71428571429</v>
      </c>
      <c r="I44" s="100">
        <f t="shared" si="2"/>
        <v>117030</v>
      </c>
      <c r="J44" s="69">
        <v>163.85</v>
      </c>
      <c r="K44" s="102">
        <f t="shared" si="4"/>
        <v>4.1500000000000057</v>
      </c>
      <c r="L44" s="103">
        <f t="shared" si="3"/>
        <v>-2964.2857142857101</v>
      </c>
      <c r="M44" s="78">
        <v>0</v>
      </c>
      <c r="N44" s="70"/>
      <c r="O44" s="101">
        <f t="shared" si="5"/>
        <v>117035.71428571429</v>
      </c>
      <c r="P44" s="62" t="s">
        <v>109</v>
      </c>
    </row>
    <row r="45" spans="1:16" ht="10.8" thickBot="1" x14ac:dyDescent="0.35">
      <c r="A45" s="74" t="s">
        <v>33</v>
      </c>
      <c r="B45" s="105" t="s">
        <v>31</v>
      </c>
      <c r="C45" s="106" t="s">
        <v>32</v>
      </c>
      <c r="D45" s="99" t="s">
        <v>23</v>
      </c>
      <c r="E45" s="67">
        <v>120000</v>
      </c>
      <c r="F45" s="68">
        <v>168</v>
      </c>
      <c r="G45" s="100">
        <f t="shared" si="0"/>
        <v>714.28571428571433</v>
      </c>
      <c r="H45" s="101">
        <f t="shared" si="1"/>
        <v>117514.28571428572</v>
      </c>
      <c r="I45" s="100">
        <f t="shared" si="2"/>
        <v>117510</v>
      </c>
      <c r="J45" s="69">
        <v>164.52</v>
      </c>
      <c r="K45" s="102">
        <f t="shared" si="4"/>
        <v>3.4799999999999898</v>
      </c>
      <c r="L45" s="103">
        <f t="shared" si="3"/>
        <v>-2485.7142857142753</v>
      </c>
      <c r="M45" s="78">
        <v>0</v>
      </c>
      <c r="N45" s="70">
        <v>25000</v>
      </c>
      <c r="O45" s="101">
        <f t="shared" si="5"/>
        <v>142514.28571428574</v>
      </c>
      <c r="P45" s="58" t="s">
        <v>100</v>
      </c>
    </row>
    <row r="46" spans="1:16" ht="10.8" thickBot="1" x14ac:dyDescent="0.35">
      <c r="A46" s="74" t="s">
        <v>40</v>
      </c>
      <c r="B46" s="105" t="s">
        <v>31</v>
      </c>
      <c r="C46" s="106" t="s">
        <v>32</v>
      </c>
      <c r="D46" s="99" t="s">
        <v>23</v>
      </c>
      <c r="E46" s="67">
        <v>120000</v>
      </c>
      <c r="F46" s="68">
        <v>168</v>
      </c>
      <c r="G46" s="100">
        <f t="shared" si="0"/>
        <v>714.28571428571433</v>
      </c>
      <c r="H46" s="101">
        <f t="shared" si="1"/>
        <v>118928.57142857143</v>
      </c>
      <c r="I46" s="100">
        <f t="shared" si="2"/>
        <v>118920</v>
      </c>
      <c r="J46" s="69">
        <v>166.5</v>
      </c>
      <c r="K46" s="102">
        <f t="shared" si="4"/>
        <v>1.5</v>
      </c>
      <c r="L46" s="103">
        <f t="shared" si="3"/>
        <v>-1071.4285714285652</v>
      </c>
      <c r="M46" s="78">
        <v>0</v>
      </c>
      <c r="N46" s="70">
        <v>25000</v>
      </c>
      <c r="O46" s="101">
        <f>H46+M46+N46</f>
        <v>143928.57142857142</v>
      </c>
      <c r="P46" s="58" t="s">
        <v>101</v>
      </c>
    </row>
    <row r="47" spans="1:16" ht="10.8" thickBot="1" x14ac:dyDescent="0.35">
      <c r="A47" s="74" t="s">
        <v>52</v>
      </c>
      <c r="B47" s="105" t="s">
        <v>31</v>
      </c>
      <c r="C47" s="106" t="s">
        <v>32</v>
      </c>
      <c r="D47" s="99" t="s">
        <v>23</v>
      </c>
      <c r="E47" s="67">
        <v>120000</v>
      </c>
      <c r="F47" s="68">
        <v>168</v>
      </c>
      <c r="G47" s="100">
        <f t="shared" si="0"/>
        <v>714.28571428571433</v>
      </c>
      <c r="H47" s="101">
        <f t="shared" si="1"/>
        <v>119250</v>
      </c>
      <c r="I47" s="100">
        <f t="shared" si="2"/>
        <v>119250</v>
      </c>
      <c r="J47" s="69">
        <v>166.95</v>
      </c>
      <c r="K47" s="102">
        <f t="shared" si="4"/>
        <v>1.0500000000000114</v>
      </c>
      <c r="L47" s="103">
        <f t="shared" si="3"/>
        <v>-750</v>
      </c>
      <c r="M47" s="78">
        <v>0</v>
      </c>
      <c r="N47" s="70">
        <v>25000</v>
      </c>
      <c r="O47" s="101">
        <f>H47+M47+N47</f>
        <v>144250</v>
      </c>
      <c r="P47" s="58" t="s">
        <v>102</v>
      </c>
    </row>
    <row r="48" spans="1:16" x14ac:dyDescent="0.3">
      <c r="F48" s="68"/>
      <c r="I48" s="108" t="s">
        <v>10</v>
      </c>
      <c r="L48" s="85">
        <f>SUM(L8:L47)</f>
        <v>-122904.76190476186</v>
      </c>
      <c r="M48" s="85">
        <f>SUM(M8:M47)</f>
        <v>82000</v>
      </c>
      <c r="N48" s="85">
        <f>SUM(N8:N47)</f>
        <v>75000</v>
      </c>
      <c r="O48" s="109">
        <f>SUM(O8:O47)</f>
        <v>4514095.2380952379</v>
      </c>
    </row>
    <row r="49" spans="9:9" x14ac:dyDescent="0.3">
      <c r="I49" s="109">
        <f>SUM(I8:I47)</f>
        <v>4356960</v>
      </c>
    </row>
  </sheetData>
  <mergeCells count="1">
    <mergeCell ref="G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CF836-4CDB-49C1-93A8-FDE3530461A1}">
  <sheetPr>
    <tabColor rgb="FF70AD47"/>
  </sheetPr>
  <dimension ref="A1:Q46"/>
  <sheetViews>
    <sheetView topLeftCell="A21" zoomScaleNormal="100" workbookViewId="0">
      <pane xSplit="1" topLeftCell="F1" activePane="topRight" state="frozen"/>
      <selection pane="topRight" activeCell="A41" sqref="A41:XFD41"/>
    </sheetView>
  </sheetViews>
  <sheetFormatPr baseColWidth="10" defaultColWidth="13.5546875" defaultRowHeight="10.199999999999999" x14ac:dyDescent="0.3"/>
  <cols>
    <col min="1" max="1" width="34.6640625" style="1" customWidth="1"/>
    <col min="2" max="2" width="10.44140625" style="1" customWidth="1"/>
    <col min="3" max="3" width="14.21875" style="1" customWidth="1"/>
    <col min="4" max="4" width="16.6640625" style="1" customWidth="1"/>
    <col min="5" max="5" width="16.33203125" style="2" customWidth="1"/>
    <col min="6" max="6" width="10.88671875" style="1" customWidth="1"/>
    <col min="7" max="7" width="15.5546875" style="1" customWidth="1"/>
    <col min="8" max="8" width="14.88671875" style="1" customWidth="1"/>
    <col min="9" max="9" width="15.6640625" style="1" customWidth="1"/>
    <col min="10" max="10" width="17.6640625" style="1" customWidth="1"/>
    <col min="11" max="11" width="15.33203125" style="1" customWidth="1"/>
    <col min="12" max="12" width="15.5546875" style="1" customWidth="1"/>
    <col min="13" max="14" width="13.33203125" style="1" customWidth="1"/>
    <col min="15" max="15" width="12.109375" style="1" customWidth="1"/>
    <col min="16" max="16384" width="13.5546875" style="1"/>
  </cols>
  <sheetData>
    <row r="1" spans="1:17" ht="9.75" customHeight="1" x14ac:dyDescent="0.3">
      <c r="A1" s="3"/>
      <c r="B1" s="3"/>
      <c r="C1" s="3"/>
      <c r="D1" s="3"/>
      <c r="E1" s="4"/>
      <c r="F1" s="3"/>
      <c r="G1" s="3"/>
      <c r="H1" s="3"/>
      <c r="I1" s="3"/>
    </row>
    <row r="2" spans="1:17" ht="9.75" customHeight="1" x14ac:dyDescent="0.3">
      <c r="A2" s="3"/>
      <c r="B2" s="3"/>
      <c r="C2" s="3"/>
      <c r="D2" s="3"/>
      <c r="E2" s="4"/>
      <c r="F2" s="3"/>
      <c r="G2" s="121" t="s">
        <v>115</v>
      </c>
      <c r="H2" s="121"/>
      <c r="I2" s="121"/>
    </row>
    <row r="3" spans="1:17" ht="9.75" customHeight="1" x14ac:dyDescent="0.3">
      <c r="A3" s="3"/>
      <c r="B3" s="3"/>
      <c r="C3" s="3"/>
      <c r="D3" s="3"/>
      <c r="E3" s="4"/>
      <c r="F3" s="3"/>
      <c r="G3" s="3"/>
      <c r="H3" s="3"/>
      <c r="I3" s="3"/>
    </row>
    <row r="4" spans="1:17" ht="9.75" customHeight="1" x14ac:dyDescent="0.3">
      <c r="A4" s="3"/>
      <c r="B4" s="3"/>
      <c r="C4" s="3"/>
      <c r="D4" s="3"/>
      <c r="E4" s="4"/>
      <c r="F4" s="3"/>
      <c r="G4" s="3"/>
      <c r="H4" s="3"/>
      <c r="I4" s="3"/>
      <c r="M4" s="5"/>
      <c r="N4" s="5"/>
    </row>
    <row r="5" spans="1:17" ht="9.75" customHeight="1" x14ac:dyDescent="0.3">
      <c r="A5" s="80" t="s">
        <v>114</v>
      </c>
      <c r="B5" s="6"/>
      <c r="C5" s="6"/>
      <c r="D5" s="3"/>
      <c r="E5" s="4"/>
      <c r="F5" s="3"/>
      <c r="G5" s="3"/>
      <c r="H5" s="81">
        <v>46204</v>
      </c>
      <c r="I5" s="7"/>
    </row>
    <row r="6" spans="1:17" ht="10.5" customHeight="1" thickBot="1" x14ac:dyDescent="0.25">
      <c r="A6" s="3"/>
      <c r="B6" s="3"/>
      <c r="C6" s="3"/>
      <c r="D6" s="3"/>
      <c r="E6" s="4"/>
      <c r="F6" s="3"/>
      <c r="G6" s="3"/>
      <c r="H6" s="3"/>
      <c r="I6" s="3"/>
      <c r="Q6" s="8" t="s">
        <v>2</v>
      </c>
    </row>
    <row r="7" spans="1:17" ht="21" customHeight="1" thickBot="1" x14ac:dyDescent="0.35">
      <c r="A7" s="9" t="s">
        <v>3</v>
      </c>
      <c r="B7" s="10" t="s">
        <v>4</v>
      </c>
      <c r="C7" s="10" t="s">
        <v>5</v>
      </c>
      <c r="D7" s="11" t="s">
        <v>6</v>
      </c>
      <c r="E7" s="12" t="s">
        <v>7</v>
      </c>
      <c r="F7" s="13" t="s">
        <v>8</v>
      </c>
      <c r="G7" s="14" t="s">
        <v>9</v>
      </c>
      <c r="H7" s="15" t="s">
        <v>10</v>
      </c>
      <c r="I7" s="16" t="s">
        <v>11</v>
      </c>
      <c r="J7" s="16" t="s">
        <v>12</v>
      </c>
      <c r="K7" s="17" t="s">
        <v>13</v>
      </c>
      <c r="L7" s="13" t="s">
        <v>14</v>
      </c>
      <c r="M7" s="71" t="s">
        <v>111</v>
      </c>
      <c r="N7" s="19" t="s">
        <v>16</v>
      </c>
      <c r="O7" s="20" t="s">
        <v>116</v>
      </c>
      <c r="P7" s="20" t="s">
        <v>18</v>
      </c>
      <c r="Q7" s="21" t="s">
        <v>19</v>
      </c>
    </row>
    <row r="8" spans="1:17" ht="10.5" customHeight="1" thickBot="1" x14ac:dyDescent="0.35">
      <c r="A8" s="63" t="s">
        <v>20</v>
      </c>
      <c r="B8" s="23" t="s">
        <v>21</v>
      </c>
      <c r="C8" s="24" t="s">
        <v>22</v>
      </c>
      <c r="D8" s="25" t="s">
        <v>23</v>
      </c>
      <c r="E8" s="66">
        <v>100000</v>
      </c>
      <c r="F8" s="68">
        <v>160</v>
      </c>
      <c r="G8" s="28">
        <f t="shared" ref="G8:G44" si="0">E8/F8</f>
        <v>625</v>
      </c>
      <c r="H8" s="29">
        <f t="shared" ref="H8:H44" si="1">G8*J8</f>
        <v>88125</v>
      </c>
      <c r="I8" s="28">
        <f t="shared" ref="I8:I44" si="2">ROUNDDOWN(H8,-1)</f>
        <v>88120</v>
      </c>
      <c r="J8" s="69">
        <v>141</v>
      </c>
      <c r="K8" s="31">
        <f t="shared" ref="K8:K44" si="3">F8-J8</f>
        <v>19</v>
      </c>
      <c r="L8" s="32">
        <f t="shared" ref="L8:L44" si="4">H8-E8</f>
        <v>-11875</v>
      </c>
      <c r="M8" s="70"/>
      <c r="N8" s="33"/>
      <c r="O8" s="29">
        <f t="shared" ref="O8:O44" si="5">H8+M8+N8</f>
        <v>88125</v>
      </c>
      <c r="P8" s="34">
        <v>88125</v>
      </c>
      <c r="Q8" s="72" t="s">
        <v>73</v>
      </c>
    </row>
    <row r="9" spans="1:17" ht="10.5" customHeight="1" thickBot="1" x14ac:dyDescent="0.35">
      <c r="A9" s="64" t="s">
        <v>24</v>
      </c>
      <c r="B9" s="23" t="s">
        <v>21</v>
      </c>
      <c r="C9" s="24" t="s">
        <v>22</v>
      </c>
      <c r="D9" s="25" t="s">
        <v>23</v>
      </c>
      <c r="E9" s="66">
        <v>140000</v>
      </c>
      <c r="F9" s="68">
        <v>160</v>
      </c>
      <c r="G9" s="28">
        <f t="shared" si="0"/>
        <v>875</v>
      </c>
      <c r="H9" s="29">
        <f t="shared" si="1"/>
        <v>139125</v>
      </c>
      <c r="I9" s="28">
        <f t="shared" si="2"/>
        <v>139120</v>
      </c>
      <c r="J9" s="69">
        <v>159</v>
      </c>
      <c r="K9" s="31">
        <f t="shared" si="3"/>
        <v>1</v>
      </c>
      <c r="L9" s="32">
        <f t="shared" si="4"/>
        <v>-875</v>
      </c>
      <c r="M9" s="70">
        <v>26000</v>
      </c>
      <c r="N9" s="33"/>
      <c r="O9" s="29">
        <f t="shared" si="5"/>
        <v>165125</v>
      </c>
      <c r="P9" s="34">
        <v>165125</v>
      </c>
      <c r="Q9" s="72" t="s">
        <v>74</v>
      </c>
    </row>
    <row r="10" spans="1:17" ht="10.5" customHeight="1" thickBot="1" x14ac:dyDescent="0.35">
      <c r="A10" s="65" t="s">
        <v>25</v>
      </c>
      <c r="B10" s="23" t="s">
        <v>21</v>
      </c>
      <c r="C10" s="24" t="s">
        <v>22</v>
      </c>
      <c r="D10" s="25" t="s">
        <v>23</v>
      </c>
      <c r="E10" s="66">
        <v>140000</v>
      </c>
      <c r="F10" s="68">
        <v>160</v>
      </c>
      <c r="G10" s="28">
        <f t="shared" si="0"/>
        <v>875</v>
      </c>
      <c r="H10" s="29">
        <f t="shared" si="1"/>
        <v>137375</v>
      </c>
      <c r="I10" s="28">
        <f t="shared" si="2"/>
        <v>137370</v>
      </c>
      <c r="J10" s="69">
        <v>157</v>
      </c>
      <c r="K10" s="31">
        <f t="shared" si="3"/>
        <v>3</v>
      </c>
      <c r="L10" s="32">
        <f t="shared" si="4"/>
        <v>-2625</v>
      </c>
      <c r="M10" s="70">
        <v>5200</v>
      </c>
      <c r="N10" s="33">
        <v>25000</v>
      </c>
      <c r="O10" s="29">
        <f t="shared" si="5"/>
        <v>167575</v>
      </c>
      <c r="P10" s="34">
        <v>167575</v>
      </c>
      <c r="Q10" s="72" t="s">
        <v>75</v>
      </c>
    </row>
    <row r="11" spans="1:17" ht="10.5" customHeight="1" thickBot="1" x14ac:dyDescent="0.35">
      <c r="A11" s="65" t="s">
        <v>110</v>
      </c>
      <c r="B11" s="23" t="s">
        <v>21</v>
      </c>
      <c r="C11" s="24" t="s">
        <v>22</v>
      </c>
      <c r="D11" s="25" t="s">
        <v>23</v>
      </c>
      <c r="E11" s="67">
        <v>120000</v>
      </c>
      <c r="F11" s="68">
        <v>160</v>
      </c>
      <c r="G11" s="28">
        <f t="shared" si="0"/>
        <v>750</v>
      </c>
      <c r="H11" s="29">
        <f t="shared" si="1"/>
        <v>104250</v>
      </c>
      <c r="I11" s="28">
        <f t="shared" si="2"/>
        <v>104250</v>
      </c>
      <c r="J11" s="69">
        <v>139</v>
      </c>
      <c r="K11" s="31">
        <f t="shared" si="3"/>
        <v>21</v>
      </c>
      <c r="L11" s="32">
        <f t="shared" si="4"/>
        <v>-15750</v>
      </c>
      <c r="M11" s="70">
        <v>13000</v>
      </c>
      <c r="N11" s="33"/>
      <c r="O11" s="29">
        <f t="shared" si="5"/>
        <v>117250</v>
      </c>
      <c r="P11" s="34">
        <v>117250</v>
      </c>
      <c r="Q11" s="72" t="s">
        <v>112</v>
      </c>
    </row>
    <row r="12" spans="1:17" ht="10.5" customHeight="1" thickTop="1" thickBot="1" x14ac:dyDescent="0.35">
      <c r="A12" s="65" t="s">
        <v>26</v>
      </c>
      <c r="B12" s="23" t="s">
        <v>21</v>
      </c>
      <c r="C12" s="24" t="s">
        <v>22</v>
      </c>
      <c r="D12" s="25" t="s">
        <v>23</v>
      </c>
      <c r="E12" s="66">
        <v>100000</v>
      </c>
      <c r="F12" s="68">
        <v>160</v>
      </c>
      <c r="G12" s="28">
        <f t="shared" si="0"/>
        <v>625</v>
      </c>
      <c r="H12" s="29">
        <f t="shared" si="1"/>
        <v>89375</v>
      </c>
      <c r="I12" s="28">
        <f t="shared" si="2"/>
        <v>89370</v>
      </c>
      <c r="J12" s="69">
        <v>143</v>
      </c>
      <c r="K12" s="31">
        <f t="shared" si="3"/>
        <v>17</v>
      </c>
      <c r="L12" s="32">
        <f t="shared" si="4"/>
        <v>-10625</v>
      </c>
      <c r="M12" s="70">
        <v>0</v>
      </c>
      <c r="N12" s="33"/>
      <c r="O12" s="29">
        <f t="shared" si="5"/>
        <v>89375</v>
      </c>
      <c r="P12" s="34">
        <v>89375</v>
      </c>
      <c r="Q12" s="73" t="s">
        <v>77</v>
      </c>
    </row>
    <row r="13" spans="1:17" ht="10.5" customHeight="1" thickBot="1" x14ac:dyDescent="0.35">
      <c r="A13" s="65" t="s">
        <v>27</v>
      </c>
      <c r="B13" s="23" t="s">
        <v>21</v>
      </c>
      <c r="C13" s="24" t="s">
        <v>22</v>
      </c>
      <c r="D13" s="25" t="s">
        <v>23</v>
      </c>
      <c r="E13" s="67">
        <v>100000</v>
      </c>
      <c r="F13" s="68">
        <v>160</v>
      </c>
      <c r="G13" s="28">
        <f t="shared" si="0"/>
        <v>625</v>
      </c>
      <c r="H13" s="29">
        <f t="shared" si="1"/>
        <v>89375</v>
      </c>
      <c r="I13" s="28">
        <f t="shared" si="2"/>
        <v>89370</v>
      </c>
      <c r="J13" s="69">
        <v>143</v>
      </c>
      <c r="K13" s="31">
        <f t="shared" si="3"/>
        <v>17</v>
      </c>
      <c r="L13" s="32">
        <f t="shared" si="4"/>
        <v>-10625</v>
      </c>
      <c r="M13" s="70">
        <v>0</v>
      </c>
      <c r="N13" s="33"/>
      <c r="O13" s="29">
        <f t="shared" si="5"/>
        <v>89375</v>
      </c>
      <c r="P13" s="34">
        <v>89375</v>
      </c>
      <c r="Q13" s="72" t="s">
        <v>78</v>
      </c>
    </row>
    <row r="14" spans="1:17" ht="10.5" customHeight="1" thickBot="1" x14ac:dyDescent="0.35">
      <c r="A14" s="65" t="s">
        <v>29</v>
      </c>
      <c r="B14" s="23" t="s">
        <v>21</v>
      </c>
      <c r="C14" s="24" t="s">
        <v>22</v>
      </c>
      <c r="D14" s="25" t="s">
        <v>23</v>
      </c>
      <c r="E14" s="67">
        <v>100000</v>
      </c>
      <c r="F14" s="68">
        <v>160</v>
      </c>
      <c r="G14" s="28">
        <f t="shared" si="0"/>
        <v>625</v>
      </c>
      <c r="H14" s="29">
        <f t="shared" si="1"/>
        <v>80000</v>
      </c>
      <c r="I14" s="28">
        <f t="shared" si="2"/>
        <v>80000</v>
      </c>
      <c r="J14" s="69">
        <v>128</v>
      </c>
      <c r="K14" s="31">
        <f t="shared" si="3"/>
        <v>32</v>
      </c>
      <c r="L14" s="32">
        <f t="shared" si="4"/>
        <v>-20000</v>
      </c>
      <c r="M14" s="70">
        <v>0</v>
      </c>
      <c r="N14" s="33"/>
      <c r="O14" s="29">
        <f t="shared" si="5"/>
        <v>80000</v>
      </c>
      <c r="P14" s="34">
        <v>80000</v>
      </c>
      <c r="Q14" s="72" t="s">
        <v>76</v>
      </c>
    </row>
    <row r="15" spans="1:17" ht="10.5" customHeight="1" thickBot="1" x14ac:dyDescent="0.35">
      <c r="A15" s="74" t="s">
        <v>30</v>
      </c>
      <c r="B15" s="39" t="s">
        <v>31</v>
      </c>
      <c r="C15" s="40" t="s">
        <v>32</v>
      </c>
      <c r="D15" s="25" t="s">
        <v>23</v>
      </c>
      <c r="E15" s="67">
        <v>120000</v>
      </c>
      <c r="F15" s="68">
        <v>154</v>
      </c>
      <c r="G15" s="28">
        <f t="shared" si="0"/>
        <v>779.22077922077926</v>
      </c>
      <c r="H15" s="29">
        <f t="shared" si="1"/>
        <v>116103.89610389611</v>
      </c>
      <c r="I15" s="28">
        <f t="shared" si="2"/>
        <v>116100</v>
      </c>
      <c r="J15" s="69">
        <v>149</v>
      </c>
      <c r="K15" s="31">
        <f t="shared" si="3"/>
        <v>5</v>
      </c>
      <c r="L15" s="32">
        <f t="shared" si="4"/>
        <v>-3896.1038961038867</v>
      </c>
      <c r="M15" s="70">
        <v>10440</v>
      </c>
      <c r="N15" s="33"/>
      <c r="O15" s="29">
        <f t="shared" si="5"/>
        <v>126543.89610389611</v>
      </c>
      <c r="P15" s="34">
        <v>126543.89610389611</v>
      </c>
      <c r="Q15" s="62" t="s">
        <v>79</v>
      </c>
    </row>
    <row r="16" spans="1:17" ht="10.5" customHeight="1" thickBot="1" x14ac:dyDescent="0.35">
      <c r="A16" s="74" t="s">
        <v>33</v>
      </c>
      <c r="B16" s="39" t="s">
        <v>31</v>
      </c>
      <c r="C16" s="40" t="s">
        <v>32</v>
      </c>
      <c r="D16" s="25" t="s">
        <v>23</v>
      </c>
      <c r="E16" s="67">
        <v>120000</v>
      </c>
      <c r="F16" s="68">
        <v>154</v>
      </c>
      <c r="G16" s="28">
        <f t="shared" si="0"/>
        <v>779.22077922077926</v>
      </c>
      <c r="H16" s="29">
        <f t="shared" si="1"/>
        <v>119220.77922077922</v>
      </c>
      <c r="I16" s="28">
        <f t="shared" si="2"/>
        <v>119220</v>
      </c>
      <c r="J16" s="69">
        <v>153</v>
      </c>
      <c r="K16" s="31">
        <f t="shared" si="3"/>
        <v>1</v>
      </c>
      <c r="L16" s="32">
        <f t="shared" si="4"/>
        <v>-779.22077922077733</v>
      </c>
      <c r="M16" s="70">
        <v>64120</v>
      </c>
      <c r="N16" s="33">
        <v>25000</v>
      </c>
      <c r="O16" s="29">
        <f t="shared" si="5"/>
        <v>208340.77922077922</v>
      </c>
      <c r="P16" s="34">
        <v>208340.77922077922</v>
      </c>
      <c r="Q16" s="62" t="s">
        <v>100</v>
      </c>
    </row>
    <row r="17" spans="1:17" ht="10.5" customHeight="1" thickBot="1" x14ac:dyDescent="0.35">
      <c r="A17" s="74" t="s">
        <v>34</v>
      </c>
      <c r="B17" s="39" t="s">
        <v>31</v>
      </c>
      <c r="C17" s="40" t="s">
        <v>32</v>
      </c>
      <c r="D17" s="25" t="s">
        <v>23</v>
      </c>
      <c r="E17" s="66">
        <v>100000</v>
      </c>
      <c r="F17" s="68">
        <v>154</v>
      </c>
      <c r="G17" s="28">
        <f t="shared" si="0"/>
        <v>649.35064935064941</v>
      </c>
      <c r="H17" s="29">
        <f t="shared" si="1"/>
        <v>99675.324675324679</v>
      </c>
      <c r="I17" s="28">
        <f t="shared" si="2"/>
        <v>99670</v>
      </c>
      <c r="J17" s="69">
        <v>153.5</v>
      </c>
      <c r="K17" s="31">
        <f t="shared" si="3"/>
        <v>0.5</v>
      </c>
      <c r="L17" s="32">
        <f t="shared" si="4"/>
        <v>-324.67532467532146</v>
      </c>
      <c r="M17" s="70">
        <v>5500</v>
      </c>
      <c r="N17" s="33"/>
      <c r="O17" s="29">
        <f t="shared" si="5"/>
        <v>105175.32467532468</v>
      </c>
      <c r="P17" s="34">
        <v>105175.32467532468</v>
      </c>
      <c r="Q17" s="62" t="s">
        <v>80</v>
      </c>
    </row>
    <row r="18" spans="1:17" ht="10.5" customHeight="1" thickBot="1" x14ac:dyDescent="0.35">
      <c r="A18" s="74" t="s">
        <v>36</v>
      </c>
      <c r="B18" s="39" t="s">
        <v>31</v>
      </c>
      <c r="C18" s="40" t="s">
        <v>32</v>
      </c>
      <c r="D18" s="25" t="s">
        <v>23</v>
      </c>
      <c r="E18" s="67">
        <v>120000</v>
      </c>
      <c r="F18" s="68">
        <v>154</v>
      </c>
      <c r="G18" s="28">
        <f t="shared" si="0"/>
        <v>779.22077922077926</v>
      </c>
      <c r="H18" s="29">
        <f t="shared" si="1"/>
        <v>94285.71428571429</v>
      </c>
      <c r="I18" s="28">
        <f t="shared" si="2"/>
        <v>94280</v>
      </c>
      <c r="J18" s="69">
        <v>121</v>
      </c>
      <c r="K18" s="31">
        <f t="shared" si="3"/>
        <v>33</v>
      </c>
      <c r="L18" s="32">
        <f t="shared" si="4"/>
        <v>-25714.28571428571</v>
      </c>
      <c r="M18" s="70">
        <v>5460</v>
      </c>
      <c r="N18" s="33"/>
      <c r="O18" s="29">
        <f t="shared" si="5"/>
        <v>99745.71428571429</v>
      </c>
      <c r="P18" s="34">
        <v>99745.71428571429</v>
      </c>
      <c r="Q18" s="62" t="s">
        <v>82</v>
      </c>
    </row>
    <row r="19" spans="1:17" ht="10.5" customHeight="1" thickBot="1" x14ac:dyDescent="0.35">
      <c r="A19" s="75" t="s">
        <v>37</v>
      </c>
      <c r="B19" s="39" t="s">
        <v>31</v>
      </c>
      <c r="C19" s="40" t="s">
        <v>32</v>
      </c>
      <c r="D19" s="25" t="s">
        <v>23</v>
      </c>
      <c r="E19" s="66">
        <v>100000</v>
      </c>
      <c r="F19" s="68">
        <v>154</v>
      </c>
      <c r="G19" s="28">
        <f t="shared" si="0"/>
        <v>649.35064935064941</v>
      </c>
      <c r="H19" s="29">
        <f t="shared" si="1"/>
        <v>98701.298701298714</v>
      </c>
      <c r="I19" s="28">
        <f t="shared" si="2"/>
        <v>98700</v>
      </c>
      <c r="J19" s="69">
        <v>152</v>
      </c>
      <c r="K19" s="31">
        <f t="shared" si="3"/>
        <v>2</v>
      </c>
      <c r="L19" s="32">
        <f t="shared" si="4"/>
        <v>-1298.7012987012859</v>
      </c>
      <c r="M19" s="70">
        <v>6600</v>
      </c>
      <c r="N19" s="33"/>
      <c r="O19" s="29">
        <f t="shared" si="5"/>
        <v>105301.29870129871</v>
      </c>
      <c r="P19" s="34">
        <v>105301.29870129871</v>
      </c>
      <c r="Q19" s="62" t="s">
        <v>83</v>
      </c>
    </row>
    <row r="20" spans="1:17" ht="10.5" customHeight="1" thickBot="1" x14ac:dyDescent="0.35">
      <c r="A20" s="74" t="s">
        <v>38</v>
      </c>
      <c r="B20" s="39" t="s">
        <v>31</v>
      </c>
      <c r="C20" s="40" t="s">
        <v>32</v>
      </c>
      <c r="D20" s="25" t="s">
        <v>23</v>
      </c>
      <c r="E20" s="66">
        <v>100000</v>
      </c>
      <c r="F20" s="68">
        <v>154</v>
      </c>
      <c r="G20" s="28">
        <f t="shared" si="0"/>
        <v>649.35064935064941</v>
      </c>
      <c r="H20" s="29">
        <f t="shared" si="1"/>
        <v>88961.038961038968</v>
      </c>
      <c r="I20" s="28">
        <f t="shared" si="2"/>
        <v>88960</v>
      </c>
      <c r="J20" s="69">
        <v>137</v>
      </c>
      <c r="K20" s="31">
        <f t="shared" si="3"/>
        <v>17</v>
      </c>
      <c r="L20" s="32">
        <f t="shared" si="4"/>
        <v>-11038.961038961032</v>
      </c>
      <c r="M20" s="78">
        <v>7020</v>
      </c>
      <c r="N20" s="33"/>
      <c r="O20" s="29">
        <f t="shared" si="5"/>
        <v>95981.038961038968</v>
      </c>
      <c r="P20" s="34">
        <v>95981.038961038968</v>
      </c>
      <c r="Q20" s="62" t="s">
        <v>84</v>
      </c>
    </row>
    <row r="21" spans="1:17" ht="10.5" customHeight="1" thickBot="1" x14ac:dyDescent="0.35">
      <c r="A21" s="74" t="s">
        <v>39</v>
      </c>
      <c r="B21" s="39" t="s">
        <v>31</v>
      </c>
      <c r="C21" s="40" t="s">
        <v>32</v>
      </c>
      <c r="D21" s="25" t="s">
        <v>23</v>
      </c>
      <c r="E21" s="67">
        <v>120000</v>
      </c>
      <c r="F21" s="68">
        <v>154</v>
      </c>
      <c r="G21" s="28">
        <f t="shared" si="0"/>
        <v>779.22077922077926</v>
      </c>
      <c r="H21" s="29">
        <f t="shared" si="1"/>
        <v>113376.62337662338</v>
      </c>
      <c r="I21" s="28">
        <f t="shared" si="2"/>
        <v>113370</v>
      </c>
      <c r="J21" s="69">
        <v>145.5</v>
      </c>
      <c r="K21" s="31">
        <f t="shared" si="3"/>
        <v>8.5</v>
      </c>
      <c r="L21" s="32">
        <f t="shared" si="4"/>
        <v>-6623.3766233766219</v>
      </c>
      <c r="M21" s="78">
        <v>8640</v>
      </c>
      <c r="N21" s="33"/>
      <c r="O21" s="29">
        <f t="shared" si="5"/>
        <v>122016.62337662338</v>
      </c>
      <c r="P21" s="34">
        <v>122016.62337662338</v>
      </c>
      <c r="Q21" s="62" t="s">
        <v>85</v>
      </c>
    </row>
    <row r="22" spans="1:17" ht="10.5" customHeight="1" thickBot="1" x14ac:dyDescent="0.35">
      <c r="A22" s="74" t="s">
        <v>40</v>
      </c>
      <c r="B22" s="39" t="s">
        <v>31</v>
      </c>
      <c r="C22" s="40" t="s">
        <v>32</v>
      </c>
      <c r="D22" s="25" t="s">
        <v>23</v>
      </c>
      <c r="E22" s="67">
        <v>120000</v>
      </c>
      <c r="F22" s="68">
        <v>154</v>
      </c>
      <c r="G22" s="28">
        <f t="shared" si="0"/>
        <v>779.22077922077926</v>
      </c>
      <c r="H22" s="29">
        <f t="shared" si="1"/>
        <v>101298.7012987013</v>
      </c>
      <c r="I22" s="28">
        <f t="shared" si="2"/>
        <v>101290</v>
      </c>
      <c r="J22" s="69">
        <v>130</v>
      </c>
      <c r="K22" s="31">
        <f t="shared" si="3"/>
        <v>24</v>
      </c>
      <c r="L22" s="32">
        <f t="shared" si="4"/>
        <v>-18701.2987012987</v>
      </c>
      <c r="M22" s="78">
        <v>24800</v>
      </c>
      <c r="N22" s="33"/>
      <c r="O22" s="29">
        <f t="shared" si="5"/>
        <v>126098.7012987013</v>
      </c>
      <c r="P22" s="34">
        <v>126098.7012987013</v>
      </c>
      <c r="Q22" s="62" t="s">
        <v>101</v>
      </c>
    </row>
    <row r="23" spans="1:17" ht="10.5" customHeight="1" thickBot="1" x14ac:dyDescent="0.35">
      <c r="A23" s="74" t="s">
        <v>41</v>
      </c>
      <c r="B23" s="39" t="s">
        <v>31</v>
      </c>
      <c r="C23" s="40" t="s">
        <v>32</v>
      </c>
      <c r="D23" s="25" t="s">
        <v>23</v>
      </c>
      <c r="E23" s="67">
        <v>120000</v>
      </c>
      <c r="F23" s="68">
        <v>154</v>
      </c>
      <c r="G23" s="28">
        <f t="shared" si="0"/>
        <v>779.22077922077926</v>
      </c>
      <c r="H23" s="29">
        <f t="shared" si="1"/>
        <v>120000</v>
      </c>
      <c r="I23" s="28">
        <f t="shared" si="2"/>
        <v>120000</v>
      </c>
      <c r="J23" s="69">
        <v>154</v>
      </c>
      <c r="K23" s="31">
        <f t="shared" si="3"/>
        <v>0</v>
      </c>
      <c r="L23" s="32">
        <f t="shared" si="4"/>
        <v>0</v>
      </c>
      <c r="M23" s="78">
        <v>18680</v>
      </c>
      <c r="N23" s="33">
        <v>25000</v>
      </c>
      <c r="O23" s="29">
        <f t="shared" si="5"/>
        <v>163680</v>
      </c>
      <c r="P23" s="34">
        <v>163680</v>
      </c>
      <c r="Q23" s="62" t="s">
        <v>86</v>
      </c>
    </row>
    <row r="24" spans="1:17" ht="10.5" customHeight="1" thickBot="1" x14ac:dyDescent="0.35">
      <c r="A24" s="74" t="s">
        <v>42</v>
      </c>
      <c r="B24" s="39" t="s">
        <v>31</v>
      </c>
      <c r="C24" s="40" t="s">
        <v>32</v>
      </c>
      <c r="D24" s="25" t="s">
        <v>23</v>
      </c>
      <c r="E24" s="67">
        <v>120000</v>
      </c>
      <c r="F24" s="68">
        <v>154</v>
      </c>
      <c r="G24" s="28">
        <f t="shared" si="0"/>
        <v>779.22077922077926</v>
      </c>
      <c r="H24" s="29">
        <f t="shared" si="1"/>
        <v>119610.38961038961</v>
      </c>
      <c r="I24" s="28">
        <f t="shared" si="2"/>
        <v>119610</v>
      </c>
      <c r="J24" s="69">
        <v>153.5</v>
      </c>
      <c r="K24" s="31">
        <f t="shared" si="3"/>
        <v>0.5</v>
      </c>
      <c r="L24" s="32">
        <f t="shared" si="4"/>
        <v>-389.61038961038867</v>
      </c>
      <c r="M24" s="78">
        <v>17360</v>
      </c>
      <c r="N24" s="33"/>
      <c r="O24" s="29">
        <f t="shared" si="5"/>
        <v>136970.3896103896</v>
      </c>
      <c r="P24" s="34">
        <v>136970.3896103896</v>
      </c>
      <c r="Q24" s="62" t="s">
        <v>87</v>
      </c>
    </row>
    <row r="25" spans="1:17" ht="10.5" customHeight="1" thickBot="1" x14ac:dyDescent="0.35">
      <c r="A25" s="75" t="s">
        <v>43</v>
      </c>
      <c r="B25" s="39" t="s">
        <v>31</v>
      </c>
      <c r="C25" s="40" t="s">
        <v>32</v>
      </c>
      <c r="D25" s="25" t="s">
        <v>23</v>
      </c>
      <c r="E25" s="67">
        <v>120000</v>
      </c>
      <c r="F25" s="68">
        <v>154</v>
      </c>
      <c r="G25" s="28">
        <f t="shared" si="0"/>
        <v>779.22077922077926</v>
      </c>
      <c r="H25" s="29">
        <f t="shared" si="1"/>
        <v>116103.89610389611</v>
      </c>
      <c r="I25" s="28">
        <f t="shared" si="2"/>
        <v>116100</v>
      </c>
      <c r="J25" s="69">
        <v>149</v>
      </c>
      <c r="K25" s="31">
        <f t="shared" si="3"/>
        <v>5</v>
      </c>
      <c r="L25" s="32">
        <f t="shared" si="4"/>
        <v>-3896.1038961038867</v>
      </c>
      <c r="M25" s="78">
        <v>13240</v>
      </c>
      <c r="N25" s="33"/>
      <c r="O25" s="29">
        <f t="shared" si="5"/>
        <v>129343.89610389611</v>
      </c>
      <c r="P25" s="34">
        <v>129343.89610389611</v>
      </c>
      <c r="Q25" s="62" t="s">
        <v>88</v>
      </c>
    </row>
    <row r="26" spans="1:17" ht="10.5" customHeight="1" thickBot="1" x14ac:dyDescent="0.35">
      <c r="A26" s="74" t="s">
        <v>44</v>
      </c>
      <c r="B26" s="39" t="s">
        <v>31</v>
      </c>
      <c r="C26" s="40" t="s">
        <v>32</v>
      </c>
      <c r="D26" s="25" t="s">
        <v>23</v>
      </c>
      <c r="E26" s="67">
        <v>120000</v>
      </c>
      <c r="F26" s="68">
        <v>154</v>
      </c>
      <c r="G26" s="28">
        <f t="shared" si="0"/>
        <v>779.22077922077926</v>
      </c>
      <c r="H26" s="29">
        <f t="shared" si="1"/>
        <v>104415.58441558442</v>
      </c>
      <c r="I26" s="28">
        <f t="shared" si="2"/>
        <v>104410</v>
      </c>
      <c r="J26" s="69">
        <v>134</v>
      </c>
      <c r="K26" s="31">
        <f t="shared" si="3"/>
        <v>20</v>
      </c>
      <c r="L26" s="32">
        <f t="shared" si="4"/>
        <v>-15584.415584415576</v>
      </c>
      <c r="M26" s="78">
        <v>6180</v>
      </c>
      <c r="N26" s="33"/>
      <c r="O26" s="29">
        <f t="shared" si="5"/>
        <v>110595.58441558442</v>
      </c>
      <c r="P26" s="34">
        <v>110595.58441558442</v>
      </c>
      <c r="Q26" s="62" t="s">
        <v>89</v>
      </c>
    </row>
    <row r="27" spans="1:17" ht="10.5" customHeight="1" thickBot="1" x14ac:dyDescent="0.35">
      <c r="A27" s="74" t="s">
        <v>45</v>
      </c>
      <c r="B27" s="39" t="s">
        <v>31</v>
      </c>
      <c r="C27" s="40" t="s">
        <v>32</v>
      </c>
      <c r="D27" s="25" t="s">
        <v>23</v>
      </c>
      <c r="E27" s="66">
        <v>100000</v>
      </c>
      <c r="F27" s="68">
        <v>154</v>
      </c>
      <c r="G27" s="28">
        <f t="shared" si="0"/>
        <v>649.35064935064941</v>
      </c>
      <c r="H27" s="29">
        <f t="shared" si="1"/>
        <v>93506.493506493513</v>
      </c>
      <c r="I27" s="28">
        <f t="shared" si="2"/>
        <v>93500</v>
      </c>
      <c r="J27" s="69">
        <v>144</v>
      </c>
      <c r="K27" s="31">
        <f t="shared" si="3"/>
        <v>10</v>
      </c>
      <c r="L27" s="32">
        <f t="shared" si="4"/>
        <v>-6493.5064935064875</v>
      </c>
      <c r="M27" s="78">
        <v>5200</v>
      </c>
      <c r="N27" s="33"/>
      <c r="O27" s="29">
        <f t="shared" si="5"/>
        <v>98706.493506493513</v>
      </c>
      <c r="P27" s="34">
        <v>98706.493506493513</v>
      </c>
      <c r="Q27" s="62" t="s">
        <v>90</v>
      </c>
    </row>
    <row r="28" spans="1:17" ht="10.5" customHeight="1" thickBot="1" x14ac:dyDescent="0.35">
      <c r="A28" s="75" t="s">
        <v>46</v>
      </c>
      <c r="B28" s="39" t="s">
        <v>31</v>
      </c>
      <c r="C28" s="40" t="s">
        <v>32</v>
      </c>
      <c r="D28" s="25" t="s">
        <v>23</v>
      </c>
      <c r="E28" s="66">
        <v>100000</v>
      </c>
      <c r="F28" s="68">
        <v>154</v>
      </c>
      <c r="G28" s="28">
        <f t="shared" si="0"/>
        <v>649.35064935064941</v>
      </c>
      <c r="H28" s="29">
        <f t="shared" si="1"/>
        <v>99350.649350649357</v>
      </c>
      <c r="I28" s="28">
        <f t="shared" si="2"/>
        <v>99350</v>
      </c>
      <c r="J28" s="69">
        <v>153</v>
      </c>
      <c r="K28" s="31">
        <f t="shared" si="3"/>
        <v>1</v>
      </c>
      <c r="L28" s="32">
        <f t="shared" si="4"/>
        <v>-649.35064935064293</v>
      </c>
      <c r="M28" s="78">
        <v>8900</v>
      </c>
      <c r="N28" s="33"/>
      <c r="O28" s="29">
        <f t="shared" si="5"/>
        <v>108250.64935064936</v>
      </c>
      <c r="P28" s="34">
        <v>108250.64935064936</v>
      </c>
      <c r="Q28" s="62" t="s">
        <v>91</v>
      </c>
    </row>
    <row r="29" spans="1:17" ht="10.5" customHeight="1" thickBot="1" x14ac:dyDescent="0.35">
      <c r="A29" s="74" t="s">
        <v>47</v>
      </c>
      <c r="B29" s="39" t="s">
        <v>31</v>
      </c>
      <c r="C29" s="40" t="s">
        <v>32</v>
      </c>
      <c r="D29" s="25" t="s">
        <v>23</v>
      </c>
      <c r="E29" s="67">
        <v>120000</v>
      </c>
      <c r="F29" s="68">
        <v>154</v>
      </c>
      <c r="G29" s="28">
        <f t="shared" si="0"/>
        <v>779.22077922077926</v>
      </c>
      <c r="H29" s="29">
        <f t="shared" si="1"/>
        <v>118831.16883116883</v>
      </c>
      <c r="I29" s="28">
        <f t="shared" si="2"/>
        <v>118830</v>
      </c>
      <c r="J29" s="69">
        <v>152.5</v>
      </c>
      <c r="K29" s="31">
        <f t="shared" si="3"/>
        <v>1.5</v>
      </c>
      <c r="L29" s="32">
        <f t="shared" si="4"/>
        <v>-1168.831168831166</v>
      </c>
      <c r="M29" s="78">
        <v>20560</v>
      </c>
      <c r="N29" s="33"/>
      <c r="O29" s="29">
        <f t="shared" si="5"/>
        <v>139391.16883116885</v>
      </c>
      <c r="P29" s="34">
        <v>139391.16883116885</v>
      </c>
      <c r="Q29" s="62" t="s">
        <v>92</v>
      </c>
    </row>
    <row r="30" spans="1:17" ht="10.5" customHeight="1" thickBot="1" x14ac:dyDescent="0.35">
      <c r="A30" s="74" t="s">
        <v>48</v>
      </c>
      <c r="B30" s="39" t="s">
        <v>31</v>
      </c>
      <c r="C30" s="40" t="s">
        <v>32</v>
      </c>
      <c r="D30" s="25" t="s">
        <v>23</v>
      </c>
      <c r="E30" s="67">
        <v>120000</v>
      </c>
      <c r="F30" s="68">
        <v>154</v>
      </c>
      <c r="G30" s="28">
        <f t="shared" si="0"/>
        <v>779.22077922077926</v>
      </c>
      <c r="H30" s="29">
        <f t="shared" si="1"/>
        <v>119610.38961038961</v>
      </c>
      <c r="I30" s="28">
        <f t="shared" si="2"/>
        <v>119610</v>
      </c>
      <c r="J30" s="69">
        <v>153.5</v>
      </c>
      <c r="K30" s="31">
        <f t="shared" si="3"/>
        <v>0.5</v>
      </c>
      <c r="L30" s="32">
        <f t="shared" si="4"/>
        <v>-389.61038961038867</v>
      </c>
      <c r="M30" s="78">
        <v>39320</v>
      </c>
      <c r="N30" s="33"/>
      <c r="O30" s="29">
        <f t="shared" si="5"/>
        <v>158930.3896103896</v>
      </c>
      <c r="P30" s="34">
        <v>158930.3896103896</v>
      </c>
      <c r="Q30" s="62" t="s">
        <v>93</v>
      </c>
    </row>
    <row r="31" spans="1:17" ht="10.5" customHeight="1" thickBot="1" x14ac:dyDescent="0.35">
      <c r="A31" s="74" t="s">
        <v>49</v>
      </c>
      <c r="B31" s="39" t="s">
        <v>31</v>
      </c>
      <c r="C31" s="40" t="s">
        <v>32</v>
      </c>
      <c r="D31" s="25" t="s">
        <v>23</v>
      </c>
      <c r="E31" s="67">
        <v>120000</v>
      </c>
      <c r="F31" s="68">
        <v>154</v>
      </c>
      <c r="G31" s="28">
        <f t="shared" si="0"/>
        <v>779.22077922077926</v>
      </c>
      <c r="H31" s="29">
        <f t="shared" si="1"/>
        <v>118831.16883116883</v>
      </c>
      <c r="I31" s="28">
        <f t="shared" si="2"/>
        <v>118830</v>
      </c>
      <c r="J31" s="69">
        <v>152.5</v>
      </c>
      <c r="K31" s="31">
        <f t="shared" si="3"/>
        <v>1.5</v>
      </c>
      <c r="L31" s="32">
        <f t="shared" si="4"/>
        <v>-1168.831168831166</v>
      </c>
      <c r="M31" s="78">
        <v>7020</v>
      </c>
      <c r="N31" s="33"/>
      <c r="O31" s="29">
        <f t="shared" si="5"/>
        <v>125851.16883116883</v>
      </c>
      <c r="P31" s="34">
        <v>125851.16883116883</v>
      </c>
      <c r="Q31" s="62" t="s">
        <v>94</v>
      </c>
    </row>
    <row r="32" spans="1:17" ht="10.5" customHeight="1" thickBot="1" x14ac:dyDescent="0.35">
      <c r="A32" s="75" t="s">
        <v>50</v>
      </c>
      <c r="B32" s="39" t="s">
        <v>31</v>
      </c>
      <c r="C32" s="40" t="s">
        <v>32</v>
      </c>
      <c r="D32" s="25" t="s">
        <v>23</v>
      </c>
      <c r="E32" s="66">
        <v>100000</v>
      </c>
      <c r="F32" s="68">
        <v>154</v>
      </c>
      <c r="G32" s="28">
        <f t="shared" si="0"/>
        <v>649.35064935064941</v>
      </c>
      <c r="H32" s="29">
        <f t="shared" si="1"/>
        <v>93506.493506493513</v>
      </c>
      <c r="I32" s="28">
        <f t="shared" si="2"/>
        <v>93500</v>
      </c>
      <c r="J32" s="69">
        <v>144</v>
      </c>
      <c r="K32" s="31">
        <f t="shared" si="3"/>
        <v>10</v>
      </c>
      <c r="L32" s="32">
        <f t="shared" si="4"/>
        <v>-6493.5064935064875</v>
      </c>
      <c r="M32" s="78">
        <v>8900</v>
      </c>
      <c r="N32" s="33"/>
      <c r="O32" s="29">
        <f t="shared" si="5"/>
        <v>102406.49350649351</v>
      </c>
      <c r="P32" s="34">
        <v>102406.49350649351</v>
      </c>
      <c r="Q32" s="62" t="s">
        <v>95</v>
      </c>
    </row>
    <row r="33" spans="1:17" ht="10.5" customHeight="1" thickBot="1" x14ac:dyDescent="0.35">
      <c r="A33" s="75" t="s">
        <v>51</v>
      </c>
      <c r="B33" s="39" t="s">
        <v>31</v>
      </c>
      <c r="C33" s="40" t="s">
        <v>32</v>
      </c>
      <c r="D33" s="25" t="s">
        <v>23</v>
      </c>
      <c r="E33" s="66">
        <v>100000</v>
      </c>
      <c r="F33" s="68">
        <v>154</v>
      </c>
      <c r="G33" s="28">
        <f t="shared" si="0"/>
        <v>649.35064935064941</v>
      </c>
      <c r="H33" s="29">
        <f t="shared" si="1"/>
        <v>99350.649350649357</v>
      </c>
      <c r="I33" s="28">
        <f t="shared" si="2"/>
        <v>99350</v>
      </c>
      <c r="J33" s="69">
        <v>153</v>
      </c>
      <c r="K33" s="31">
        <f t="shared" si="3"/>
        <v>1</v>
      </c>
      <c r="L33" s="32">
        <f t="shared" si="4"/>
        <v>-649.35064935064293</v>
      </c>
      <c r="M33" s="78">
        <v>3580</v>
      </c>
      <c r="N33" s="33"/>
      <c r="O33" s="29">
        <f t="shared" si="5"/>
        <v>102930.64935064936</v>
      </c>
      <c r="P33" s="34">
        <v>102930.64935064936</v>
      </c>
      <c r="Q33" s="62" t="s">
        <v>96</v>
      </c>
    </row>
    <row r="34" spans="1:17" ht="10.5" customHeight="1" thickBot="1" x14ac:dyDescent="0.35">
      <c r="A34" s="74" t="s">
        <v>52</v>
      </c>
      <c r="B34" s="39" t="s">
        <v>31</v>
      </c>
      <c r="C34" s="40" t="s">
        <v>32</v>
      </c>
      <c r="D34" s="25" t="s">
        <v>23</v>
      </c>
      <c r="E34" s="67">
        <v>120000</v>
      </c>
      <c r="F34" s="68">
        <v>154</v>
      </c>
      <c r="G34" s="28">
        <f t="shared" si="0"/>
        <v>779.22077922077926</v>
      </c>
      <c r="H34" s="29">
        <f t="shared" si="1"/>
        <v>120389.6103896104</v>
      </c>
      <c r="I34" s="28">
        <f t="shared" si="2"/>
        <v>120380</v>
      </c>
      <c r="J34" s="69">
        <v>154.5</v>
      </c>
      <c r="K34" s="31">
        <f t="shared" si="3"/>
        <v>-0.5</v>
      </c>
      <c r="L34" s="32">
        <f t="shared" si="4"/>
        <v>389.61038961040322</v>
      </c>
      <c r="M34" s="78">
        <v>45740</v>
      </c>
      <c r="N34" s="33"/>
      <c r="O34" s="29">
        <f t="shared" si="5"/>
        <v>166129.6103896104</v>
      </c>
      <c r="P34" s="34">
        <v>166129.6103896104</v>
      </c>
      <c r="Q34" s="62" t="s">
        <v>102</v>
      </c>
    </row>
    <row r="35" spans="1:17" ht="10.5" customHeight="1" thickBot="1" x14ac:dyDescent="0.35">
      <c r="A35" s="74" t="s">
        <v>53</v>
      </c>
      <c r="B35" s="39" t="s">
        <v>31</v>
      </c>
      <c r="C35" s="40" t="s">
        <v>32</v>
      </c>
      <c r="D35" s="25" t="s">
        <v>23</v>
      </c>
      <c r="E35" s="66">
        <v>100000</v>
      </c>
      <c r="F35" s="68">
        <v>154</v>
      </c>
      <c r="G35" s="28">
        <f t="shared" si="0"/>
        <v>649.35064935064941</v>
      </c>
      <c r="H35" s="29">
        <f t="shared" si="1"/>
        <v>65909.090909090912</v>
      </c>
      <c r="I35" s="28">
        <f t="shared" si="2"/>
        <v>65900</v>
      </c>
      <c r="J35" s="69">
        <v>101.5</v>
      </c>
      <c r="K35" s="31">
        <f t="shared" si="3"/>
        <v>52.5</v>
      </c>
      <c r="L35" s="32">
        <f t="shared" si="4"/>
        <v>-34090.909090909088</v>
      </c>
      <c r="M35" s="78">
        <v>5060</v>
      </c>
      <c r="N35" s="33">
        <v>25000</v>
      </c>
      <c r="O35" s="29">
        <f t="shared" si="5"/>
        <v>95969.090909090912</v>
      </c>
      <c r="P35" s="34">
        <v>95969.090909090912</v>
      </c>
      <c r="Q35" s="62" t="s">
        <v>97</v>
      </c>
    </row>
    <row r="36" spans="1:17" ht="10.5" customHeight="1" thickBot="1" x14ac:dyDescent="0.35">
      <c r="A36" s="74" t="s">
        <v>54</v>
      </c>
      <c r="B36" s="39" t="s">
        <v>31</v>
      </c>
      <c r="C36" s="40" t="s">
        <v>32</v>
      </c>
      <c r="D36" s="25" t="s">
        <v>23</v>
      </c>
      <c r="E36" s="67">
        <v>120000</v>
      </c>
      <c r="F36" s="68">
        <v>154</v>
      </c>
      <c r="G36" s="28">
        <f t="shared" si="0"/>
        <v>779.22077922077926</v>
      </c>
      <c r="H36" s="29">
        <f t="shared" si="1"/>
        <v>119220.77922077922</v>
      </c>
      <c r="I36" s="28">
        <f t="shared" si="2"/>
        <v>119220</v>
      </c>
      <c r="J36" s="69">
        <v>153</v>
      </c>
      <c r="K36" s="31">
        <f t="shared" si="3"/>
        <v>1</v>
      </c>
      <c r="L36" s="32">
        <f t="shared" si="4"/>
        <v>-779.22077922077733</v>
      </c>
      <c r="M36" s="78">
        <v>11420</v>
      </c>
      <c r="N36" s="33"/>
      <c r="O36" s="29">
        <f t="shared" si="5"/>
        <v>130640.77922077922</v>
      </c>
      <c r="P36" s="34">
        <v>130640.77922077922</v>
      </c>
      <c r="Q36" s="62" t="s">
        <v>98</v>
      </c>
    </row>
    <row r="37" spans="1:17" ht="10.5" customHeight="1" thickBot="1" x14ac:dyDescent="0.35">
      <c r="A37" s="74" t="s">
        <v>55</v>
      </c>
      <c r="B37" s="39" t="s">
        <v>31</v>
      </c>
      <c r="C37" s="40" t="s">
        <v>32</v>
      </c>
      <c r="D37" s="25" t="s">
        <v>23</v>
      </c>
      <c r="E37" s="67">
        <v>120000</v>
      </c>
      <c r="F37" s="68">
        <v>154</v>
      </c>
      <c r="G37" s="28">
        <f t="shared" si="0"/>
        <v>779.22077922077926</v>
      </c>
      <c r="H37" s="29">
        <f t="shared" si="1"/>
        <v>100909.09090909091</v>
      </c>
      <c r="I37" s="28">
        <f t="shared" si="2"/>
        <v>100900</v>
      </c>
      <c r="J37" s="69">
        <v>129.5</v>
      </c>
      <c r="K37" s="31">
        <f t="shared" si="3"/>
        <v>24.5</v>
      </c>
      <c r="L37" s="32">
        <f t="shared" si="4"/>
        <v>-19090.909090909088</v>
      </c>
      <c r="M37" s="78">
        <v>13400</v>
      </c>
      <c r="N37" s="33"/>
      <c r="O37" s="29">
        <f t="shared" si="5"/>
        <v>114309.09090909091</v>
      </c>
      <c r="P37" s="29">
        <v>114309.09090909091</v>
      </c>
      <c r="Q37" s="62" t="s">
        <v>99</v>
      </c>
    </row>
    <row r="38" spans="1:17" ht="10.5" customHeight="1" thickBot="1" x14ac:dyDescent="0.35">
      <c r="A38" s="75" t="s">
        <v>56</v>
      </c>
      <c r="B38" s="39" t="s">
        <v>31</v>
      </c>
      <c r="C38" s="40" t="s">
        <v>32</v>
      </c>
      <c r="D38" s="25" t="s">
        <v>23</v>
      </c>
      <c r="E38" s="66">
        <v>100000</v>
      </c>
      <c r="F38" s="68">
        <v>154</v>
      </c>
      <c r="G38" s="28">
        <f t="shared" si="0"/>
        <v>649.35064935064941</v>
      </c>
      <c r="H38" s="29">
        <f t="shared" si="1"/>
        <v>99025.974025974036</v>
      </c>
      <c r="I38" s="28">
        <f t="shared" si="2"/>
        <v>99020</v>
      </c>
      <c r="J38" s="69">
        <v>152.5</v>
      </c>
      <c r="K38" s="31">
        <f t="shared" si="3"/>
        <v>1.5</v>
      </c>
      <c r="L38" s="32">
        <f t="shared" si="4"/>
        <v>-974.02597402596439</v>
      </c>
      <c r="M38" s="78">
        <v>5000</v>
      </c>
      <c r="N38" s="33"/>
      <c r="O38" s="29">
        <f t="shared" si="5"/>
        <v>104025.97402597404</v>
      </c>
      <c r="P38" s="34">
        <v>104025.97402597404</v>
      </c>
      <c r="Q38" s="62" t="s">
        <v>103</v>
      </c>
    </row>
    <row r="39" spans="1:17" ht="10.5" customHeight="1" thickBot="1" x14ac:dyDescent="0.35">
      <c r="A39" s="75" t="s">
        <v>113</v>
      </c>
      <c r="B39" s="39" t="s">
        <v>31</v>
      </c>
      <c r="C39" s="40" t="s">
        <v>32</v>
      </c>
      <c r="D39" s="25" t="s">
        <v>23</v>
      </c>
      <c r="E39" s="66">
        <v>100000</v>
      </c>
      <c r="F39" s="68">
        <v>154</v>
      </c>
      <c r="G39" s="28">
        <f t="shared" si="0"/>
        <v>649.35064935064941</v>
      </c>
      <c r="H39" s="29">
        <f t="shared" si="1"/>
        <v>98701.298701298714</v>
      </c>
      <c r="I39" s="28">
        <f t="shared" si="2"/>
        <v>98700</v>
      </c>
      <c r="J39" s="69">
        <v>152</v>
      </c>
      <c r="K39" s="31">
        <f t="shared" si="3"/>
        <v>2</v>
      </c>
      <c r="L39" s="32">
        <f t="shared" si="4"/>
        <v>-1298.7012987012859</v>
      </c>
      <c r="M39" s="78">
        <v>6300</v>
      </c>
      <c r="N39" s="33"/>
      <c r="O39" s="29">
        <f t="shared" si="5"/>
        <v>105001.29870129871</v>
      </c>
      <c r="P39" s="34">
        <v>105001.29870129871</v>
      </c>
      <c r="Q39" s="62" t="s">
        <v>104</v>
      </c>
    </row>
    <row r="40" spans="1:17" ht="10.5" customHeight="1" thickBot="1" x14ac:dyDescent="0.35">
      <c r="A40" s="74" t="s">
        <v>59</v>
      </c>
      <c r="B40" s="39" t="s">
        <v>31</v>
      </c>
      <c r="C40" s="40" t="s">
        <v>32</v>
      </c>
      <c r="D40" s="25" t="s">
        <v>23</v>
      </c>
      <c r="E40" s="67">
        <v>120000</v>
      </c>
      <c r="F40" s="68">
        <v>154</v>
      </c>
      <c r="G40" s="28">
        <f t="shared" si="0"/>
        <v>779.22077922077926</v>
      </c>
      <c r="H40" s="29">
        <f t="shared" si="1"/>
        <v>119610.38961038961</v>
      </c>
      <c r="I40" s="28">
        <f t="shared" si="2"/>
        <v>119610</v>
      </c>
      <c r="J40" s="69">
        <v>153.5</v>
      </c>
      <c r="K40" s="31">
        <f t="shared" si="3"/>
        <v>0.5</v>
      </c>
      <c r="L40" s="32">
        <f t="shared" si="4"/>
        <v>-389.61038961038867</v>
      </c>
      <c r="M40" s="78">
        <v>9900</v>
      </c>
      <c r="N40" s="33"/>
      <c r="O40" s="29">
        <f t="shared" si="5"/>
        <v>129510.38961038961</v>
      </c>
      <c r="P40" s="34">
        <v>129510.38961038961</v>
      </c>
      <c r="Q40" s="62" t="s">
        <v>105</v>
      </c>
    </row>
    <row r="41" spans="1:17" ht="10.5" customHeight="1" thickBot="1" x14ac:dyDescent="0.35">
      <c r="A41" s="74" t="s">
        <v>58</v>
      </c>
      <c r="B41" s="39" t="s">
        <v>31</v>
      </c>
      <c r="C41" s="40" t="s">
        <v>32</v>
      </c>
      <c r="D41" s="25" t="s">
        <v>23</v>
      </c>
      <c r="E41" s="67">
        <v>120000</v>
      </c>
      <c r="F41" s="68">
        <v>154</v>
      </c>
      <c r="G41" s="28">
        <f t="shared" si="0"/>
        <v>779.22077922077926</v>
      </c>
      <c r="H41" s="29">
        <f t="shared" si="1"/>
        <v>118831.16883116883</v>
      </c>
      <c r="I41" s="28">
        <f t="shared" si="2"/>
        <v>118830</v>
      </c>
      <c r="J41" s="69">
        <v>152.5</v>
      </c>
      <c r="K41" s="31">
        <f t="shared" si="3"/>
        <v>1.5</v>
      </c>
      <c r="L41" s="32">
        <f t="shared" si="4"/>
        <v>-1168.831168831166</v>
      </c>
      <c r="M41" s="78">
        <v>16100</v>
      </c>
      <c r="N41" s="33"/>
      <c r="O41" s="29">
        <f t="shared" si="5"/>
        <v>134931.16883116885</v>
      </c>
      <c r="P41" s="34">
        <v>134931.16883116885</v>
      </c>
      <c r="Q41" s="62" t="s">
        <v>106</v>
      </c>
    </row>
    <row r="42" spans="1:17" ht="10.5" customHeight="1" thickBot="1" x14ac:dyDescent="0.35">
      <c r="A42" s="74" t="s">
        <v>60</v>
      </c>
      <c r="B42" s="39" t="s">
        <v>31</v>
      </c>
      <c r="C42" s="40" t="s">
        <v>32</v>
      </c>
      <c r="D42" s="25" t="s">
        <v>23</v>
      </c>
      <c r="E42" s="67">
        <v>120000</v>
      </c>
      <c r="F42" s="68">
        <v>154</v>
      </c>
      <c r="G42" s="28">
        <f t="shared" si="0"/>
        <v>779.22077922077926</v>
      </c>
      <c r="H42" s="29">
        <f t="shared" si="1"/>
        <v>120000</v>
      </c>
      <c r="I42" s="28">
        <f t="shared" si="2"/>
        <v>120000</v>
      </c>
      <c r="J42" s="69">
        <v>154</v>
      </c>
      <c r="K42" s="31">
        <f t="shared" si="3"/>
        <v>0</v>
      </c>
      <c r="L42" s="32">
        <f t="shared" si="4"/>
        <v>0</v>
      </c>
      <c r="M42" s="78">
        <v>15140</v>
      </c>
      <c r="N42" s="33"/>
      <c r="O42" s="29">
        <f t="shared" si="5"/>
        <v>135140</v>
      </c>
      <c r="P42" s="34">
        <v>135140</v>
      </c>
      <c r="Q42" s="62" t="s">
        <v>107</v>
      </c>
    </row>
    <row r="43" spans="1:17" ht="10.5" customHeight="1" thickBot="1" x14ac:dyDescent="0.35">
      <c r="A43" s="74" t="s">
        <v>61</v>
      </c>
      <c r="B43" s="39" t="s">
        <v>31</v>
      </c>
      <c r="C43" s="40" t="s">
        <v>32</v>
      </c>
      <c r="D43" s="25" t="s">
        <v>23</v>
      </c>
      <c r="E43" s="66">
        <v>100000</v>
      </c>
      <c r="F43" s="68">
        <v>154</v>
      </c>
      <c r="G43" s="28">
        <f t="shared" si="0"/>
        <v>649.35064935064941</v>
      </c>
      <c r="H43" s="29">
        <f t="shared" si="1"/>
        <v>98701.298701298714</v>
      </c>
      <c r="I43" s="28">
        <f t="shared" si="2"/>
        <v>98700</v>
      </c>
      <c r="J43" s="69">
        <v>152</v>
      </c>
      <c r="K43" s="31">
        <f t="shared" si="3"/>
        <v>2</v>
      </c>
      <c r="L43" s="32">
        <f t="shared" si="4"/>
        <v>-1298.7012987012859</v>
      </c>
      <c r="M43" s="78">
        <v>7000</v>
      </c>
      <c r="N43" s="33"/>
      <c r="O43" s="29">
        <f t="shared" si="5"/>
        <v>105701.29870129871</v>
      </c>
      <c r="P43" s="34">
        <v>105701.29870129871</v>
      </c>
      <c r="Q43" s="62" t="s">
        <v>108</v>
      </c>
    </row>
    <row r="44" spans="1:17" ht="10.5" customHeight="1" thickBot="1" x14ac:dyDescent="0.35">
      <c r="A44" s="76" t="s">
        <v>62</v>
      </c>
      <c r="B44" s="39" t="s">
        <v>31</v>
      </c>
      <c r="C44" s="40" t="s">
        <v>32</v>
      </c>
      <c r="D44" s="25" t="s">
        <v>23</v>
      </c>
      <c r="E44" s="77">
        <v>120000</v>
      </c>
      <c r="F44" s="68">
        <v>154</v>
      </c>
      <c r="G44" s="28">
        <f t="shared" si="0"/>
        <v>779.22077922077926</v>
      </c>
      <c r="H44" s="29">
        <f t="shared" si="1"/>
        <v>120000</v>
      </c>
      <c r="I44" s="28">
        <f t="shared" si="2"/>
        <v>120000</v>
      </c>
      <c r="J44" s="69">
        <v>154</v>
      </c>
      <c r="K44" s="31">
        <f t="shared" si="3"/>
        <v>0</v>
      </c>
      <c r="L44" s="32">
        <f t="shared" si="4"/>
        <v>0</v>
      </c>
      <c r="M44" s="79">
        <v>12180</v>
      </c>
      <c r="N44" s="33"/>
      <c r="O44" s="29">
        <f t="shared" si="5"/>
        <v>132180</v>
      </c>
      <c r="P44" s="34">
        <v>132180</v>
      </c>
      <c r="Q44" s="62" t="s">
        <v>109</v>
      </c>
    </row>
    <row r="45" spans="1:17" ht="9.75" customHeight="1" x14ac:dyDescent="0.3">
      <c r="I45" s="46" t="s">
        <v>10</v>
      </c>
      <c r="L45" s="5">
        <f>SUM(L8:L44)</f>
        <v>-236336.03896103881</v>
      </c>
      <c r="M45" s="5">
        <f>SUM(M8:M44)</f>
        <v>472960</v>
      </c>
      <c r="N45" s="5">
        <f>SUM(N8:N44)</f>
        <v>100000</v>
      </c>
      <c r="O45" s="47">
        <f>SUM(O8:O44)</f>
        <v>4516623.9610389601</v>
      </c>
      <c r="P45" s="47"/>
    </row>
    <row r="46" spans="1:17" ht="9.75" customHeight="1" x14ac:dyDescent="0.3">
      <c r="I46" s="47">
        <f>SUM(I8:I44)</f>
        <v>3943540</v>
      </c>
      <c r="N46" s="1" t="s">
        <v>63</v>
      </c>
      <c r="O46" s="47">
        <f>ROUNDDOWN(O45,-1)</f>
        <v>4516620</v>
      </c>
    </row>
  </sheetData>
  <autoFilter ref="A7:O32" xr:uid="{00000000-0009-0000-0000-000000000000}">
    <sortState ref="A8:O32">
      <sortCondition ref="A8:A32"/>
    </sortState>
  </autoFilter>
  <mergeCells count="1">
    <mergeCell ref="G2:I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AD47"/>
  </sheetPr>
  <dimension ref="A1:Q47"/>
  <sheetViews>
    <sheetView tabSelected="1" topLeftCell="A25" zoomScaleNormal="100" workbookViewId="0">
      <pane xSplit="1" topLeftCell="B1" activePane="topRight" state="frozen"/>
      <selection pane="topRight" activeCell="K38" sqref="K38"/>
    </sheetView>
  </sheetViews>
  <sheetFormatPr baseColWidth="10" defaultColWidth="13.5546875" defaultRowHeight="10.199999999999999" x14ac:dyDescent="0.3"/>
  <cols>
    <col min="1" max="1" width="34.6640625" style="1" customWidth="1"/>
    <col min="2" max="2" width="10.44140625" style="1" customWidth="1"/>
    <col min="3" max="3" width="14.21875" style="1" customWidth="1"/>
    <col min="4" max="4" width="16.6640625" style="1" customWidth="1"/>
    <col min="5" max="5" width="16.33203125" style="2" customWidth="1"/>
    <col min="6" max="6" width="10.88671875" style="1" customWidth="1"/>
    <col min="7" max="7" width="15.5546875" style="1" customWidth="1"/>
    <col min="8" max="8" width="14.88671875" style="1" customWidth="1"/>
    <col min="9" max="9" width="15.6640625" style="1" customWidth="1"/>
    <col min="10" max="10" width="17.6640625" style="1" customWidth="1"/>
    <col min="11" max="11" width="15.33203125" style="1" customWidth="1"/>
    <col min="12" max="12" width="15.5546875" style="1" customWidth="1"/>
    <col min="13" max="14" width="13.33203125" style="1" customWidth="1"/>
    <col min="15" max="15" width="12.109375" style="1" customWidth="1"/>
    <col min="16" max="16" width="13.5546875" style="1"/>
    <col min="17" max="17" width="13.5546875" style="58"/>
    <col min="18" max="16384" width="13.5546875" style="1"/>
  </cols>
  <sheetData>
    <row r="1" spans="1:17" x14ac:dyDescent="0.3">
      <c r="A1" s="3"/>
      <c r="B1" s="3"/>
      <c r="C1" s="3"/>
      <c r="D1" s="3"/>
      <c r="E1" s="4"/>
      <c r="F1" s="3"/>
      <c r="G1" s="3"/>
      <c r="H1" s="3"/>
      <c r="I1" s="3"/>
    </row>
    <row r="2" spans="1:17" x14ac:dyDescent="0.3">
      <c r="A2" s="3"/>
      <c r="B2" s="3"/>
      <c r="C2" s="3"/>
      <c r="D2" s="3"/>
      <c r="E2" s="4"/>
      <c r="F2" s="3"/>
      <c r="G2" s="122" t="s">
        <v>0</v>
      </c>
      <c r="H2" s="122"/>
      <c r="I2" s="122"/>
    </row>
    <row r="3" spans="1:17" x14ac:dyDescent="0.3">
      <c r="A3" s="3"/>
      <c r="B3" s="3"/>
      <c r="C3" s="3"/>
      <c r="D3" s="3"/>
      <c r="E3" s="4"/>
      <c r="F3" s="3"/>
      <c r="G3" s="3"/>
      <c r="H3" s="3"/>
      <c r="I3" s="3"/>
    </row>
    <row r="4" spans="1:17" x14ac:dyDescent="0.3">
      <c r="A4" s="3"/>
      <c r="B4" s="3"/>
      <c r="C4" s="3"/>
      <c r="D4" s="3"/>
      <c r="E4" s="4"/>
      <c r="F4" s="3"/>
      <c r="G4" s="3"/>
      <c r="H4" s="3"/>
      <c r="I4" s="3"/>
      <c r="M4" s="5"/>
      <c r="N4" s="5"/>
    </row>
    <row r="5" spans="1:17" x14ac:dyDescent="0.3">
      <c r="A5" s="6" t="s">
        <v>1</v>
      </c>
      <c r="B5" s="6"/>
      <c r="C5" s="6"/>
      <c r="D5" s="3"/>
      <c r="E5" s="4"/>
      <c r="F5" s="3"/>
      <c r="G5" s="3"/>
      <c r="H5" s="7">
        <v>46235</v>
      </c>
      <c r="I5" s="7"/>
    </row>
    <row r="6" spans="1:17" ht="10.8" thickBot="1" x14ac:dyDescent="0.25">
      <c r="A6" s="3"/>
      <c r="B6" s="3"/>
      <c r="C6" s="3"/>
      <c r="D6" s="3"/>
      <c r="E6" s="4"/>
      <c r="F6" s="3"/>
      <c r="G6" s="3"/>
      <c r="H6" s="3"/>
      <c r="I6" s="3"/>
      <c r="Q6" s="59" t="s">
        <v>2</v>
      </c>
    </row>
    <row r="7" spans="1:17" ht="21" thickBot="1" x14ac:dyDescent="0.35">
      <c r="A7" s="9" t="s">
        <v>3</v>
      </c>
      <c r="B7" s="10" t="s">
        <v>4</v>
      </c>
      <c r="C7" s="10" t="s">
        <v>5</v>
      </c>
      <c r="D7" s="11" t="s">
        <v>6</v>
      </c>
      <c r="E7" s="12" t="s">
        <v>7</v>
      </c>
      <c r="F7" s="13" t="s">
        <v>8</v>
      </c>
      <c r="G7" s="14" t="s">
        <v>9</v>
      </c>
      <c r="H7" s="15" t="s">
        <v>10</v>
      </c>
      <c r="I7" s="16" t="s">
        <v>11</v>
      </c>
      <c r="J7" s="16" t="s">
        <v>12</v>
      </c>
      <c r="K7" s="17" t="s">
        <v>13</v>
      </c>
      <c r="L7" s="13" t="s">
        <v>14</v>
      </c>
      <c r="M7" s="18" t="s">
        <v>15</v>
      </c>
      <c r="N7" s="19" t="s">
        <v>16</v>
      </c>
      <c r="O7" s="20" t="s">
        <v>17</v>
      </c>
      <c r="P7" s="20" t="s">
        <v>18</v>
      </c>
      <c r="Q7" s="21" t="s">
        <v>19</v>
      </c>
    </row>
    <row r="8" spans="1:17" ht="14.4" thickBot="1" x14ac:dyDescent="0.35">
      <c r="A8" s="22" t="s">
        <v>20</v>
      </c>
      <c r="B8" s="23" t="s">
        <v>21</v>
      </c>
      <c r="C8" s="24" t="s">
        <v>22</v>
      </c>
      <c r="D8" s="25" t="s">
        <v>23</v>
      </c>
      <c r="E8" s="26">
        <v>100000</v>
      </c>
      <c r="F8" s="27">
        <v>160</v>
      </c>
      <c r="G8" s="28">
        <f t="shared" ref="G8:G45" si="0">E8/F8</f>
        <v>625</v>
      </c>
      <c r="H8" s="29">
        <f t="shared" ref="H8:H45" si="1">G8*J8</f>
        <v>89000</v>
      </c>
      <c r="I8" s="28">
        <f t="shared" ref="I8:I45" si="2">ROUNDDOWN(H8,-1)</f>
        <v>89000</v>
      </c>
      <c r="J8" s="30">
        <v>142.4</v>
      </c>
      <c r="K8" s="31">
        <f t="shared" ref="K8:K45" si="3">F8-J8</f>
        <v>17.599999999999994</v>
      </c>
      <c r="L8" s="32">
        <f t="shared" ref="L8:L45" si="4">H8-E8</f>
        <v>-11000</v>
      </c>
      <c r="M8" s="33">
        <v>9445.8240000000005</v>
      </c>
      <c r="N8" s="33"/>
      <c r="O8" s="29">
        <f t="shared" ref="O8:O45" si="5">H8+M8+N8</f>
        <v>98445.823999999993</v>
      </c>
      <c r="P8" s="34">
        <v>98445</v>
      </c>
      <c r="Q8" s="60" t="s">
        <v>73</v>
      </c>
    </row>
    <row r="9" spans="1:17" ht="14.4" thickBot="1" x14ac:dyDescent="0.35">
      <c r="A9" s="35" t="s">
        <v>24</v>
      </c>
      <c r="B9" s="23" t="s">
        <v>21</v>
      </c>
      <c r="C9" s="24" t="s">
        <v>22</v>
      </c>
      <c r="D9" s="25" t="s">
        <v>23</v>
      </c>
      <c r="E9" s="26">
        <v>140000</v>
      </c>
      <c r="F9" s="27">
        <v>160</v>
      </c>
      <c r="G9" s="28">
        <f t="shared" si="0"/>
        <v>875</v>
      </c>
      <c r="H9" s="29">
        <f t="shared" si="1"/>
        <v>140000</v>
      </c>
      <c r="I9" s="28">
        <f t="shared" si="2"/>
        <v>140000</v>
      </c>
      <c r="J9" s="30">
        <v>160</v>
      </c>
      <c r="K9" s="31">
        <f t="shared" si="3"/>
        <v>0</v>
      </c>
      <c r="L9" s="32">
        <f t="shared" si="4"/>
        <v>0</v>
      </c>
      <c r="M9" s="33">
        <v>41981.440000000002</v>
      </c>
      <c r="N9" s="33"/>
      <c r="O9" s="29">
        <f t="shared" si="5"/>
        <v>181981.44</v>
      </c>
      <c r="P9" s="34">
        <v>181981</v>
      </c>
      <c r="Q9" s="60" t="s">
        <v>74</v>
      </c>
    </row>
    <row r="10" spans="1:17" ht="14.4" thickBot="1" x14ac:dyDescent="0.35">
      <c r="A10" s="36" t="s">
        <v>25</v>
      </c>
      <c r="B10" s="23" t="s">
        <v>21</v>
      </c>
      <c r="C10" s="24" t="s">
        <v>22</v>
      </c>
      <c r="D10" s="25" t="s">
        <v>23</v>
      </c>
      <c r="E10" s="26">
        <v>140000</v>
      </c>
      <c r="F10" s="27">
        <v>160</v>
      </c>
      <c r="G10" s="28">
        <f t="shared" si="0"/>
        <v>875</v>
      </c>
      <c r="H10" s="29">
        <f t="shared" si="1"/>
        <v>138950</v>
      </c>
      <c r="I10" s="28">
        <f t="shared" si="2"/>
        <v>138950</v>
      </c>
      <c r="J10" s="30">
        <v>158.80000000000001</v>
      </c>
      <c r="K10" s="31">
        <f t="shared" si="3"/>
        <v>1.1999999999999886</v>
      </c>
      <c r="L10" s="32">
        <f t="shared" si="4"/>
        <v>-1050</v>
      </c>
      <c r="M10" s="33">
        <v>5247.68</v>
      </c>
      <c r="N10" s="33">
        <v>25000</v>
      </c>
      <c r="O10" s="29">
        <f t="shared" si="5"/>
        <v>169197.68</v>
      </c>
      <c r="P10" s="34">
        <v>169197</v>
      </c>
      <c r="Q10" s="60" t="s">
        <v>75</v>
      </c>
    </row>
    <row r="11" spans="1:17" ht="15" thickTop="1" thickBot="1" x14ac:dyDescent="0.35">
      <c r="A11" s="36" t="s">
        <v>26</v>
      </c>
      <c r="B11" s="23" t="s">
        <v>21</v>
      </c>
      <c r="C11" s="24" t="s">
        <v>22</v>
      </c>
      <c r="D11" s="25" t="s">
        <v>23</v>
      </c>
      <c r="E11" s="26">
        <v>100000</v>
      </c>
      <c r="F11" s="27">
        <v>160</v>
      </c>
      <c r="G11" s="28">
        <f t="shared" si="0"/>
        <v>625</v>
      </c>
      <c r="H11" s="29">
        <f t="shared" si="1"/>
        <v>90000</v>
      </c>
      <c r="I11" s="28">
        <f t="shared" si="2"/>
        <v>90000</v>
      </c>
      <c r="J11" s="30">
        <v>144</v>
      </c>
      <c r="K11" s="31">
        <f t="shared" si="3"/>
        <v>16</v>
      </c>
      <c r="L11" s="32">
        <f t="shared" si="4"/>
        <v>-10000</v>
      </c>
      <c r="M11" s="33"/>
      <c r="N11" s="33"/>
      <c r="O11" s="29">
        <f t="shared" si="5"/>
        <v>90000</v>
      </c>
      <c r="P11" s="34">
        <v>90000</v>
      </c>
      <c r="Q11" s="61" t="s">
        <v>77</v>
      </c>
    </row>
    <row r="12" spans="1:17" ht="14.4" thickBot="1" x14ac:dyDescent="0.35">
      <c r="A12" s="36" t="s">
        <v>27</v>
      </c>
      <c r="B12" s="23" t="s">
        <v>21</v>
      </c>
      <c r="C12" s="24" t="s">
        <v>22</v>
      </c>
      <c r="D12" s="25" t="s">
        <v>23</v>
      </c>
      <c r="E12" s="26">
        <v>100000</v>
      </c>
      <c r="F12" s="27">
        <v>160</v>
      </c>
      <c r="G12" s="28">
        <f t="shared" si="0"/>
        <v>625</v>
      </c>
      <c r="H12" s="29">
        <f t="shared" si="1"/>
        <v>91500</v>
      </c>
      <c r="I12" s="28">
        <f t="shared" si="2"/>
        <v>91500</v>
      </c>
      <c r="J12" s="30">
        <v>146.4</v>
      </c>
      <c r="K12" s="31">
        <f t="shared" si="3"/>
        <v>13.599999999999994</v>
      </c>
      <c r="L12" s="32">
        <f t="shared" si="4"/>
        <v>-8500</v>
      </c>
      <c r="M12" s="33">
        <v>5247.68</v>
      </c>
      <c r="N12" s="33"/>
      <c r="O12" s="29">
        <f t="shared" si="5"/>
        <v>96747.68</v>
      </c>
      <c r="P12" s="34">
        <v>96747</v>
      </c>
      <c r="Q12" s="60" t="s">
        <v>78</v>
      </c>
    </row>
    <row r="13" spans="1:17" ht="14.4" thickBot="1" x14ac:dyDescent="0.35">
      <c r="A13" s="36" t="s">
        <v>28</v>
      </c>
      <c r="B13" s="23" t="s">
        <v>21</v>
      </c>
      <c r="C13" s="24" t="s">
        <v>22</v>
      </c>
      <c r="D13" s="25" t="s">
        <v>23</v>
      </c>
      <c r="E13" s="37">
        <v>100000</v>
      </c>
      <c r="F13" s="27">
        <v>160</v>
      </c>
      <c r="G13" s="28">
        <f t="shared" si="0"/>
        <v>625</v>
      </c>
      <c r="H13" s="29">
        <f t="shared" si="1"/>
        <v>99625</v>
      </c>
      <c r="I13" s="28">
        <f t="shared" si="2"/>
        <v>99620</v>
      </c>
      <c r="J13" s="30">
        <v>159.4</v>
      </c>
      <c r="K13" s="31">
        <f t="shared" si="3"/>
        <v>0.59999999999999432</v>
      </c>
      <c r="L13" s="32">
        <f t="shared" si="4"/>
        <v>-375</v>
      </c>
      <c r="M13" s="33"/>
      <c r="N13" s="33"/>
      <c r="O13" s="29">
        <f t="shared" si="5"/>
        <v>99625</v>
      </c>
      <c r="P13" s="34">
        <v>99625</v>
      </c>
      <c r="Q13" s="60" t="s">
        <v>79</v>
      </c>
    </row>
    <row r="14" spans="1:17" ht="14.4" thickBot="1" x14ac:dyDescent="0.35">
      <c r="A14" s="36" t="s">
        <v>29</v>
      </c>
      <c r="B14" s="23" t="s">
        <v>21</v>
      </c>
      <c r="C14" s="24" t="s">
        <v>22</v>
      </c>
      <c r="D14" s="25" t="s">
        <v>23</v>
      </c>
      <c r="E14" s="37">
        <v>100000</v>
      </c>
      <c r="F14" s="27">
        <v>160</v>
      </c>
      <c r="G14" s="28">
        <f t="shared" si="0"/>
        <v>625</v>
      </c>
      <c r="H14" s="29">
        <f t="shared" si="1"/>
        <v>0</v>
      </c>
      <c r="I14" s="28">
        <f t="shared" si="2"/>
        <v>0</v>
      </c>
      <c r="J14" s="30">
        <v>0</v>
      </c>
      <c r="K14" s="31">
        <f t="shared" si="3"/>
        <v>160</v>
      </c>
      <c r="L14" s="32">
        <f t="shared" si="4"/>
        <v>-100000</v>
      </c>
      <c r="M14" s="33">
        <v>5247.68</v>
      </c>
      <c r="N14" s="33"/>
      <c r="O14" s="29">
        <f t="shared" si="5"/>
        <v>5247.68</v>
      </c>
      <c r="P14" s="34">
        <v>5247.68</v>
      </c>
      <c r="Q14" s="60" t="s">
        <v>76</v>
      </c>
    </row>
    <row r="15" spans="1:17" ht="14.4" thickBot="1" x14ac:dyDescent="0.35">
      <c r="A15" s="38" t="s">
        <v>30</v>
      </c>
      <c r="B15" s="39" t="s">
        <v>31</v>
      </c>
      <c r="C15" s="40" t="s">
        <v>32</v>
      </c>
      <c r="D15" s="25" t="s">
        <v>23</v>
      </c>
      <c r="E15" s="37">
        <v>120000</v>
      </c>
      <c r="F15" s="27">
        <v>154</v>
      </c>
      <c r="G15" s="28">
        <f t="shared" si="0"/>
        <v>779.22077922077926</v>
      </c>
      <c r="H15" s="29">
        <f t="shared" si="1"/>
        <v>115870.12987012987</v>
      </c>
      <c r="I15" s="28">
        <f t="shared" si="2"/>
        <v>115870</v>
      </c>
      <c r="J15" s="30">
        <v>148.69999999999999</v>
      </c>
      <c r="K15" s="31">
        <f t="shared" si="3"/>
        <v>5.3000000000000114</v>
      </c>
      <c r="L15" s="32">
        <f t="shared" si="4"/>
        <v>-4129.8701298701344</v>
      </c>
      <c r="M15" s="33">
        <v>17860</v>
      </c>
      <c r="N15" s="33"/>
      <c r="O15" s="29">
        <f t="shared" si="5"/>
        <v>133730.12987012987</v>
      </c>
      <c r="P15" s="34">
        <v>133730</v>
      </c>
      <c r="Q15" s="62" t="s">
        <v>79</v>
      </c>
    </row>
    <row r="16" spans="1:17" ht="14.4" thickBot="1" x14ac:dyDescent="0.35">
      <c r="A16" s="38" t="s">
        <v>33</v>
      </c>
      <c r="B16" s="39" t="s">
        <v>31</v>
      </c>
      <c r="C16" s="40" t="s">
        <v>32</v>
      </c>
      <c r="D16" s="25" t="s">
        <v>23</v>
      </c>
      <c r="E16" s="37">
        <v>120000</v>
      </c>
      <c r="F16" s="27">
        <v>154</v>
      </c>
      <c r="G16" s="28">
        <f t="shared" si="0"/>
        <v>779.22077922077926</v>
      </c>
      <c r="H16" s="29">
        <f t="shared" si="1"/>
        <v>122922.07792207792</v>
      </c>
      <c r="I16" s="28">
        <f t="shared" si="2"/>
        <v>122920</v>
      </c>
      <c r="J16" s="30">
        <v>157.75</v>
      </c>
      <c r="K16" s="31">
        <f t="shared" si="3"/>
        <v>-3.75</v>
      </c>
      <c r="L16" s="32">
        <f t="shared" si="4"/>
        <v>2922.0779220779223</v>
      </c>
      <c r="M16" s="33">
        <v>64740</v>
      </c>
      <c r="N16" s="33">
        <v>25000</v>
      </c>
      <c r="O16" s="29">
        <f t="shared" si="5"/>
        <v>212662.07792207791</v>
      </c>
      <c r="P16" s="34">
        <v>212662</v>
      </c>
      <c r="Q16" s="62" t="s">
        <v>100</v>
      </c>
    </row>
    <row r="17" spans="1:17" ht="14.4" thickBot="1" x14ac:dyDescent="0.35">
      <c r="A17" s="38" t="s">
        <v>34</v>
      </c>
      <c r="B17" s="39" t="s">
        <v>31</v>
      </c>
      <c r="C17" s="40" t="s">
        <v>32</v>
      </c>
      <c r="D17" s="25" t="s">
        <v>23</v>
      </c>
      <c r="E17" s="26">
        <v>100000</v>
      </c>
      <c r="F17" s="27">
        <v>154</v>
      </c>
      <c r="G17" s="28">
        <f t="shared" si="0"/>
        <v>649.35064935064941</v>
      </c>
      <c r="H17" s="29">
        <f t="shared" si="1"/>
        <v>93409.090909090912</v>
      </c>
      <c r="I17" s="28">
        <f t="shared" si="2"/>
        <v>93400</v>
      </c>
      <c r="J17" s="30">
        <v>143.85</v>
      </c>
      <c r="K17" s="31">
        <f t="shared" si="3"/>
        <v>10.150000000000006</v>
      </c>
      <c r="L17" s="32">
        <f t="shared" si="4"/>
        <v>-6590.9090909090883</v>
      </c>
      <c r="M17" s="33">
        <v>14500</v>
      </c>
      <c r="N17" s="33"/>
      <c r="O17" s="29">
        <f t="shared" si="5"/>
        <v>107909.09090909091</v>
      </c>
      <c r="P17" s="34">
        <v>107909</v>
      </c>
      <c r="Q17" s="62" t="s">
        <v>80</v>
      </c>
    </row>
    <row r="18" spans="1:17" ht="14.4" thickBot="1" x14ac:dyDescent="0.35">
      <c r="A18" s="38" t="s">
        <v>35</v>
      </c>
      <c r="B18" s="39" t="s">
        <v>31</v>
      </c>
      <c r="C18" s="40" t="s">
        <v>32</v>
      </c>
      <c r="D18" s="25" t="s">
        <v>23</v>
      </c>
      <c r="E18" s="26">
        <v>100000</v>
      </c>
      <c r="F18" s="27">
        <v>154</v>
      </c>
      <c r="G18" s="28">
        <f t="shared" si="0"/>
        <v>649.35064935064941</v>
      </c>
      <c r="H18" s="29">
        <f t="shared" si="1"/>
        <v>101915.58441558441</v>
      </c>
      <c r="I18" s="28">
        <f t="shared" si="2"/>
        <v>101910</v>
      </c>
      <c r="J18" s="30">
        <v>156.94999999999999</v>
      </c>
      <c r="K18" s="31">
        <f t="shared" si="3"/>
        <v>-2.9499999999999886</v>
      </c>
      <c r="L18" s="32">
        <f t="shared" si="4"/>
        <v>1915.5844155844097</v>
      </c>
      <c r="M18" s="33">
        <v>7300</v>
      </c>
      <c r="N18" s="33"/>
      <c r="O18" s="29">
        <f t="shared" si="5"/>
        <v>109215.58441558441</v>
      </c>
      <c r="P18" s="34">
        <v>109215</v>
      </c>
      <c r="Q18" s="62" t="s">
        <v>81</v>
      </c>
    </row>
    <row r="19" spans="1:17" ht="14.4" thickBot="1" x14ac:dyDescent="0.35">
      <c r="A19" s="41" t="s">
        <v>36</v>
      </c>
      <c r="B19" s="39" t="s">
        <v>31</v>
      </c>
      <c r="C19" s="40" t="s">
        <v>32</v>
      </c>
      <c r="D19" s="25" t="s">
        <v>23</v>
      </c>
      <c r="E19" s="37">
        <v>120000</v>
      </c>
      <c r="F19" s="27">
        <v>154</v>
      </c>
      <c r="G19" s="28">
        <f t="shared" si="0"/>
        <v>779.22077922077926</v>
      </c>
      <c r="H19" s="29">
        <f t="shared" si="1"/>
        <v>118441.55844155845</v>
      </c>
      <c r="I19" s="28">
        <f t="shared" si="2"/>
        <v>118440</v>
      </c>
      <c r="J19" s="30">
        <v>152</v>
      </c>
      <c r="K19" s="31">
        <f t="shared" si="3"/>
        <v>2</v>
      </c>
      <c r="L19" s="32">
        <f t="shared" si="4"/>
        <v>-1558.4415584415547</v>
      </c>
      <c r="M19" s="33">
        <v>18300</v>
      </c>
      <c r="N19" s="33"/>
      <c r="O19" s="29">
        <f t="shared" si="5"/>
        <v>136741.55844155845</v>
      </c>
      <c r="P19" s="34">
        <v>136741</v>
      </c>
      <c r="Q19" s="62" t="s">
        <v>82</v>
      </c>
    </row>
    <row r="20" spans="1:17" ht="14.4" thickBot="1" x14ac:dyDescent="0.35">
      <c r="A20" s="38" t="s">
        <v>37</v>
      </c>
      <c r="B20" s="39" t="s">
        <v>31</v>
      </c>
      <c r="C20" s="40" t="s">
        <v>32</v>
      </c>
      <c r="D20" s="25" t="s">
        <v>23</v>
      </c>
      <c r="E20" s="26">
        <v>100000</v>
      </c>
      <c r="F20" s="27">
        <v>154</v>
      </c>
      <c r="G20" s="28">
        <f t="shared" si="0"/>
        <v>649.35064935064941</v>
      </c>
      <c r="H20" s="29">
        <f t="shared" si="1"/>
        <v>96753.246753246756</v>
      </c>
      <c r="I20" s="28">
        <f t="shared" si="2"/>
        <v>96750</v>
      </c>
      <c r="J20" s="30">
        <v>149</v>
      </c>
      <c r="K20" s="31">
        <f t="shared" si="3"/>
        <v>5</v>
      </c>
      <c r="L20" s="32">
        <f t="shared" si="4"/>
        <v>-3246.7532467532437</v>
      </c>
      <c r="M20" s="42">
        <v>10240</v>
      </c>
      <c r="N20" s="33"/>
      <c r="O20" s="29">
        <f t="shared" si="5"/>
        <v>106993.24675324676</v>
      </c>
      <c r="P20" s="34">
        <v>106993</v>
      </c>
      <c r="Q20" s="62" t="s">
        <v>83</v>
      </c>
    </row>
    <row r="21" spans="1:17" ht="14.4" thickBot="1" x14ac:dyDescent="0.35">
      <c r="A21" s="38" t="s">
        <v>38</v>
      </c>
      <c r="B21" s="39" t="s">
        <v>31</v>
      </c>
      <c r="C21" s="40" t="s">
        <v>32</v>
      </c>
      <c r="D21" s="25" t="s">
        <v>23</v>
      </c>
      <c r="E21" s="26">
        <v>100000</v>
      </c>
      <c r="F21" s="27">
        <v>154</v>
      </c>
      <c r="G21" s="28">
        <f t="shared" si="0"/>
        <v>649.35064935064941</v>
      </c>
      <c r="H21" s="29">
        <f t="shared" si="1"/>
        <v>91201.2987012987</v>
      </c>
      <c r="I21" s="28">
        <f t="shared" si="2"/>
        <v>91200</v>
      </c>
      <c r="J21" s="30">
        <v>140.44999999999999</v>
      </c>
      <c r="K21" s="31">
        <f t="shared" si="3"/>
        <v>13.550000000000011</v>
      </c>
      <c r="L21" s="32">
        <f t="shared" si="4"/>
        <v>-8798.7012987013004</v>
      </c>
      <c r="M21" s="42">
        <v>20200</v>
      </c>
      <c r="N21" s="33"/>
      <c r="O21" s="29">
        <f t="shared" si="5"/>
        <v>111401.2987012987</v>
      </c>
      <c r="P21" s="34">
        <v>111401</v>
      </c>
      <c r="Q21" s="62" t="s">
        <v>84</v>
      </c>
    </row>
    <row r="22" spans="1:17" ht="14.4" thickBot="1" x14ac:dyDescent="0.35">
      <c r="A22" s="38" t="s">
        <v>39</v>
      </c>
      <c r="B22" s="39" t="s">
        <v>31</v>
      </c>
      <c r="C22" s="40" t="s">
        <v>32</v>
      </c>
      <c r="D22" s="25" t="s">
        <v>23</v>
      </c>
      <c r="E22" s="37">
        <v>120000</v>
      </c>
      <c r="F22" s="27">
        <v>154</v>
      </c>
      <c r="G22" s="28">
        <f t="shared" si="0"/>
        <v>779.22077922077926</v>
      </c>
      <c r="H22" s="29">
        <f t="shared" si="1"/>
        <v>122922.07792207792</v>
      </c>
      <c r="I22" s="28">
        <f t="shared" si="2"/>
        <v>122920</v>
      </c>
      <c r="J22" s="30">
        <v>157.75</v>
      </c>
      <c r="K22" s="31">
        <f t="shared" si="3"/>
        <v>-3.75</v>
      </c>
      <c r="L22" s="32">
        <f t="shared" si="4"/>
        <v>2922.0779220779223</v>
      </c>
      <c r="M22" s="42">
        <v>12900</v>
      </c>
      <c r="N22" s="33"/>
      <c r="O22" s="29">
        <f t="shared" si="5"/>
        <v>135822.07792207791</v>
      </c>
      <c r="P22" s="34">
        <v>135822</v>
      </c>
      <c r="Q22" s="62" t="s">
        <v>85</v>
      </c>
    </row>
    <row r="23" spans="1:17" ht="14.4" thickBot="1" x14ac:dyDescent="0.35">
      <c r="A23" s="38" t="s">
        <v>40</v>
      </c>
      <c r="B23" s="39" t="s">
        <v>31</v>
      </c>
      <c r="C23" s="40" t="s">
        <v>32</v>
      </c>
      <c r="D23" s="25" t="s">
        <v>23</v>
      </c>
      <c r="E23" s="37">
        <v>120000</v>
      </c>
      <c r="F23" s="27">
        <v>154</v>
      </c>
      <c r="G23" s="28">
        <f t="shared" si="0"/>
        <v>779.22077922077926</v>
      </c>
      <c r="H23" s="29">
        <f t="shared" si="1"/>
        <v>122844.15584415586</v>
      </c>
      <c r="I23" s="28">
        <f t="shared" si="2"/>
        <v>122840</v>
      </c>
      <c r="J23" s="30">
        <v>157.65</v>
      </c>
      <c r="K23" s="31">
        <f t="shared" si="3"/>
        <v>-3.6500000000000057</v>
      </c>
      <c r="L23" s="32">
        <f t="shared" si="4"/>
        <v>2844.1558441558591</v>
      </c>
      <c r="M23" s="42">
        <v>25260</v>
      </c>
      <c r="N23" s="33">
        <v>25000</v>
      </c>
      <c r="O23" s="29">
        <f t="shared" si="5"/>
        <v>173104.15584415587</v>
      </c>
      <c r="P23" s="34">
        <v>173104</v>
      </c>
      <c r="Q23" s="62" t="s">
        <v>101</v>
      </c>
    </row>
    <row r="24" spans="1:17" ht="14.4" thickBot="1" x14ac:dyDescent="0.35">
      <c r="A24" s="38" t="s">
        <v>41</v>
      </c>
      <c r="B24" s="39" t="s">
        <v>31</v>
      </c>
      <c r="C24" s="40" t="s">
        <v>32</v>
      </c>
      <c r="D24" s="25" t="s">
        <v>23</v>
      </c>
      <c r="E24" s="37">
        <v>120000</v>
      </c>
      <c r="F24" s="27">
        <v>154</v>
      </c>
      <c r="G24" s="28">
        <f t="shared" si="0"/>
        <v>779.22077922077926</v>
      </c>
      <c r="H24" s="29">
        <f t="shared" si="1"/>
        <v>122532.46753246753</v>
      </c>
      <c r="I24" s="28">
        <f t="shared" si="2"/>
        <v>122530</v>
      </c>
      <c r="J24" s="30">
        <v>157.25</v>
      </c>
      <c r="K24" s="31">
        <f t="shared" si="3"/>
        <v>-3.25</v>
      </c>
      <c r="L24" s="32">
        <f t="shared" si="4"/>
        <v>2532.4675324675336</v>
      </c>
      <c r="M24" s="42">
        <v>60360</v>
      </c>
      <c r="N24" s="33"/>
      <c r="O24" s="29">
        <f t="shared" si="5"/>
        <v>182892.46753246753</v>
      </c>
      <c r="P24" s="34">
        <v>182892</v>
      </c>
      <c r="Q24" s="62" t="s">
        <v>86</v>
      </c>
    </row>
    <row r="25" spans="1:17" ht="14.4" thickBot="1" x14ac:dyDescent="0.35">
      <c r="A25" s="41" t="s">
        <v>42</v>
      </c>
      <c r="B25" s="39" t="s">
        <v>31</v>
      </c>
      <c r="C25" s="40" t="s">
        <v>32</v>
      </c>
      <c r="D25" s="25" t="s">
        <v>23</v>
      </c>
      <c r="E25" s="37">
        <v>120000</v>
      </c>
      <c r="F25" s="27">
        <v>154</v>
      </c>
      <c r="G25" s="28">
        <f t="shared" si="0"/>
        <v>779.22077922077926</v>
      </c>
      <c r="H25" s="29">
        <f t="shared" si="1"/>
        <v>122922.07792207792</v>
      </c>
      <c r="I25" s="28">
        <f t="shared" si="2"/>
        <v>122920</v>
      </c>
      <c r="J25" s="30">
        <v>157.75</v>
      </c>
      <c r="K25" s="31">
        <f t="shared" si="3"/>
        <v>-3.75</v>
      </c>
      <c r="L25" s="32">
        <f t="shared" si="4"/>
        <v>2922.0779220779223</v>
      </c>
      <c r="M25" s="42">
        <v>34860</v>
      </c>
      <c r="N25" s="33"/>
      <c r="O25" s="29">
        <f t="shared" si="5"/>
        <v>157782.07792207791</v>
      </c>
      <c r="P25" s="34">
        <v>157782</v>
      </c>
      <c r="Q25" s="62" t="s">
        <v>87</v>
      </c>
    </row>
    <row r="26" spans="1:17" ht="14.4" thickBot="1" x14ac:dyDescent="0.35">
      <c r="A26" s="38" t="s">
        <v>43</v>
      </c>
      <c r="B26" s="39" t="s">
        <v>31</v>
      </c>
      <c r="C26" s="40" t="s">
        <v>32</v>
      </c>
      <c r="D26" s="25" t="s">
        <v>23</v>
      </c>
      <c r="E26" s="37">
        <v>120000</v>
      </c>
      <c r="F26" s="27">
        <v>154</v>
      </c>
      <c r="G26" s="28">
        <f t="shared" si="0"/>
        <v>779.22077922077926</v>
      </c>
      <c r="H26" s="29">
        <f t="shared" si="1"/>
        <v>111233.76623376623</v>
      </c>
      <c r="I26" s="28">
        <f t="shared" si="2"/>
        <v>111230</v>
      </c>
      <c r="J26" s="30">
        <v>142.75</v>
      </c>
      <c r="K26" s="31">
        <f t="shared" si="3"/>
        <v>11.25</v>
      </c>
      <c r="L26" s="32">
        <f t="shared" si="4"/>
        <v>-8766.2337662337668</v>
      </c>
      <c r="M26" s="42">
        <v>9700</v>
      </c>
      <c r="N26" s="33"/>
      <c r="O26" s="29">
        <f t="shared" si="5"/>
        <v>120933.76623376623</v>
      </c>
      <c r="P26" s="34">
        <v>120933</v>
      </c>
      <c r="Q26" s="62" t="s">
        <v>88</v>
      </c>
    </row>
    <row r="27" spans="1:17" ht="14.4" thickBot="1" x14ac:dyDescent="0.35">
      <c r="A27" s="38" t="s">
        <v>44</v>
      </c>
      <c r="B27" s="39" t="s">
        <v>31</v>
      </c>
      <c r="C27" s="40" t="s">
        <v>32</v>
      </c>
      <c r="D27" s="25" t="s">
        <v>23</v>
      </c>
      <c r="E27" s="37">
        <v>120000</v>
      </c>
      <c r="F27" s="27">
        <v>154</v>
      </c>
      <c r="G27" s="28">
        <f t="shared" si="0"/>
        <v>779.22077922077926</v>
      </c>
      <c r="H27" s="29">
        <f t="shared" si="1"/>
        <v>116345.45454545456</v>
      </c>
      <c r="I27" s="28">
        <f t="shared" si="2"/>
        <v>116340</v>
      </c>
      <c r="J27" s="30">
        <v>149.31</v>
      </c>
      <c r="K27" s="31">
        <f t="shared" si="3"/>
        <v>4.6899999999999977</v>
      </c>
      <c r="L27" s="32">
        <f t="shared" si="4"/>
        <v>-3654.5454545454413</v>
      </c>
      <c r="M27" s="42">
        <v>6800</v>
      </c>
      <c r="N27" s="33"/>
      <c r="O27" s="29">
        <f t="shared" si="5"/>
        <v>123145.45454545456</v>
      </c>
      <c r="P27" s="34">
        <v>123145</v>
      </c>
      <c r="Q27" s="62" t="s">
        <v>89</v>
      </c>
    </row>
    <row r="28" spans="1:17" ht="14.4" thickBot="1" x14ac:dyDescent="0.35">
      <c r="A28" s="41" t="s">
        <v>45</v>
      </c>
      <c r="B28" s="39" t="s">
        <v>31</v>
      </c>
      <c r="C28" s="40" t="s">
        <v>32</v>
      </c>
      <c r="D28" s="25" t="s">
        <v>23</v>
      </c>
      <c r="E28" s="26">
        <v>100000</v>
      </c>
      <c r="F28" s="27">
        <v>154</v>
      </c>
      <c r="G28" s="28">
        <f t="shared" si="0"/>
        <v>649.35064935064941</v>
      </c>
      <c r="H28" s="29">
        <f t="shared" si="1"/>
        <v>37467.532467532474</v>
      </c>
      <c r="I28" s="28">
        <f t="shared" si="2"/>
        <v>37460</v>
      </c>
      <c r="J28" s="30">
        <v>57.7</v>
      </c>
      <c r="K28" s="31">
        <f t="shared" si="3"/>
        <v>96.3</v>
      </c>
      <c r="L28" s="32">
        <f t="shared" si="4"/>
        <v>-62532.467532467526</v>
      </c>
      <c r="M28" s="42">
        <v>6800</v>
      </c>
      <c r="N28" s="33"/>
      <c r="O28" s="29">
        <f t="shared" si="5"/>
        <v>44267.532467532474</v>
      </c>
      <c r="P28" s="34">
        <v>44267</v>
      </c>
      <c r="Q28" s="62" t="s">
        <v>90</v>
      </c>
    </row>
    <row r="29" spans="1:17" ht="14.4" thickBot="1" x14ac:dyDescent="0.35">
      <c r="A29" s="38" t="s">
        <v>46</v>
      </c>
      <c r="B29" s="39" t="s">
        <v>31</v>
      </c>
      <c r="C29" s="40" t="s">
        <v>32</v>
      </c>
      <c r="D29" s="25" t="s">
        <v>23</v>
      </c>
      <c r="E29" s="26">
        <v>100000</v>
      </c>
      <c r="F29" s="27">
        <v>154</v>
      </c>
      <c r="G29" s="28">
        <f t="shared" si="0"/>
        <v>649.35064935064941</v>
      </c>
      <c r="H29" s="29">
        <f t="shared" si="1"/>
        <v>97168.831168831166</v>
      </c>
      <c r="I29" s="28">
        <f t="shared" si="2"/>
        <v>97160</v>
      </c>
      <c r="J29" s="30">
        <v>149.63999999999999</v>
      </c>
      <c r="K29" s="31">
        <f t="shared" si="3"/>
        <v>4.3600000000000136</v>
      </c>
      <c r="L29" s="32">
        <f t="shared" si="4"/>
        <v>-2831.168831168834</v>
      </c>
      <c r="M29" s="42">
        <v>29140</v>
      </c>
      <c r="N29" s="33"/>
      <c r="O29" s="29">
        <f t="shared" si="5"/>
        <v>126308.83116883117</v>
      </c>
      <c r="P29" s="34">
        <v>126308</v>
      </c>
      <c r="Q29" s="62" t="s">
        <v>91</v>
      </c>
    </row>
    <row r="30" spans="1:17" ht="14.4" thickBot="1" x14ac:dyDescent="0.35">
      <c r="A30" s="38" t="s">
        <v>47</v>
      </c>
      <c r="B30" s="39" t="s">
        <v>31</v>
      </c>
      <c r="C30" s="40" t="s">
        <v>32</v>
      </c>
      <c r="D30" s="25" t="s">
        <v>23</v>
      </c>
      <c r="E30" s="37">
        <v>120000</v>
      </c>
      <c r="F30" s="27">
        <v>154</v>
      </c>
      <c r="G30" s="28">
        <f t="shared" si="0"/>
        <v>779.22077922077926</v>
      </c>
      <c r="H30" s="29">
        <f t="shared" si="1"/>
        <v>122766.23376623378</v>
      </c>
      <c r="I30" s="28">
        <f t="shared" si="2"/>
        <v>122760</v>
      </c>
      <c r="J30" s="30">
        <v>157.55000000000001</v>
      </c>
      <c r="K30" s="31">
        <f t="shared" si="3"/>
        <v>-3.5500000000000114</v>
      </c>
      <c r="L30" s="32">
        <f t="shared" si="4"/>
        <v>2766.2337662337814</v>
      </c>
      <c r="M30" s="42">
        <v>29700</v>
      </c>
      <c r="N30" s="33"/>
      <c r="O30" s="29">
        <f t="shared" si="5"/>
        <v>152466.23376623378</v>
      </c>
      <c r="P30" s="34">
        <v>152466</v>
      </c>
      <c r="Q30" s="62" t="s">
        <v>92</v>
      </c>
    </row>
    <row r="31" spans="1:17" ht="14.4" thickBot="1" x14ac:dyDescent="0.35">
      <c r="A31" s="38" t="s">
        <v>48</v>
      </c>
      <c r="B31" s="39" t="s">
        <v>31</v>
      </c>
      <c r="C31" s="40" t="s">
        <v>32</v>
      </c>
      <c r="D31" s="25" t="s">
        <v>23</v>
      </c>
      <c r="E31" s="37">
        <v>120000</v>
      </c>
      <c r="F31" s="27">
        <v>154</v>
      </c>
      <c r="G31" s="28">
        <f t="shared" si="0"/>
        <v>779.22077922077926</v>
      </c>
      <c r="H31" s="29">
        <f t="shared" si="1"/>
        <v>122922.07792207792</v>
      </c>
      <c r="I31" s="28">
        <f t="shared" si="2"/>
        <v>122920</v>
      </c>
      <c r="J31" s="30">
        <v>157.75</v>
      </c>
      <c r="K31" s="31">
        <f t="shared" si="3"/>
        <v>-3.75</v>
      </c>
      <c r="L31" s="32">
        <f t="shared" si="4"/>
        <v>2922.0779220779223</v>
      </c>
      <c r="M31" s="42">
        <v>50100</v>
      </c>
      <c r="N31" s="33"/>
      <c r="O31" s="29">
        <f t="shared" si="5"/>
        <v>173022.07792207791</v>
      </c>
      <c r="P31" s="34">
        <v>173022</v>
      </c>
      <c r="Q31" s="62" t="s">
        <v>93</v>
      </c>
    </row>
    <row r="32" spans="1:17" ht="14.4" thickBot="1" x14ac:dyDescent="0.35">
      <c r="A32" s="41" t="s">
        <v>49</v>
      </c>
      <c r="B32" s="39" t="s">
        <v>31</v>
      </c>
      <c r="C32" s="40" t="s">
        <v>32</v>
      </c>
      <c r="D32" s="25" t="s">
        <v>23</v>
      </c>
      <c r="E32" s="26">
        <v>100000</v>
      </c>
      <c r="F32" s="27">
        <v>154</v>
      </c>
      <c r="G32" s="28">
        <f t="shared" si="0"/>
        <v>649.35064935064941</v>
      </c>
      <c r="H32" s="29">
        <f t="shared" si="1"/>
        <v>97240.259740259746</v>
      </c>
      <c r="I32" s="28">
        <f t="shared" si="2"/>
        <v>97240</v>
      </c>
      <c r="J32" s="30">
        <v>149.75</v>
      </c>
      <c r="K32" s="31">
        <f t="shared" si="3"/>
        <v>4.25</v>
      </c>
      <c r="L32" s="32">
        <f t="shared" si="4"/>
        <v>-2759.7402597402543</v>
      </c>
      <c r="M32" s="42">
        <v>26080</v>
      </c>
      <c r="N32" s="33"/>
      <c r="O32" s="29">
        <f t="shared" si="5"/>
        <v>123320.25974025975</v>
      </c>
      <c r="P32" s="34">
        <v>123320</v>
      </c>
      <c r="Q32" s="62" t="s">
        <v>94</v>
      </c>
    </row>
    <row r="33" spans="1:17" ht="14.4" thickBot="1" x14ac:dyDescent="0.35">
      <c r="A33" s="41" t="s">
        <v>50</v>
      </c>
      <c r="B33" s="39" t="s">
        <v>31</v>
      </c>
      <c r="C33" s="40" t="s">
        <v>32</v>
      </c>
      <c r="D33" s="25" t="s">
        <v>23</v>
      </c>
      <c r="E33" s="26">
        <v>100000</v>
      </c>
      <c r="F33" s="27">
        <v>154</v>
      </c>
      <c r="G33" s="28">
        <f t="shared" si="0"/>
        <v>649.35064935064941</v>
      </c>
      <c r="H33" s="29">
        <f t="shared" si="1"/>
        <v>89025.974025974036</v>
      </c>
      <c r="I33" s="28">
        <f t="shared" si="2"/>
        <v>89020</v>
      </c>
      <c r="J33" s="30">
        <v>137.1</v>
      </c>
      <c r="K33" s="31">
        <f t="shared" si="3"/>
        <v>16.900000000000006</v>
      </c>
      <c r="L33" s="32">
        <f t="shared" si="4"/>
        <v>-10974.025974025964</v>
      </c>
      <c r="M33" s="42">
        <v>16800</v>
      </c>
      <c r="N33" s="33"/>
      <c r="O33" s="29">
        <f t="shared" si="5"/>
        <v>105825.97402597404</v>
      </c>
      <c r="P33" s="34">
        <v>105825</v>
      </c>
      <c r="Q33" s="62" t="s">
        <v>95</v>
      </c>
    </row>
    <row r="34" spans="1:17" ht="14.4" thickBot="1" x14ac:dyDescent="0.35">
      <c r="A34" s="38" t="s">
        <v>51</v>
      </c>
      <c r="B34" s="39" t="s">
        <v>31</v>
      </c>
      <c r="C34" s="40" t="s">
        <v>32</v>
      </c>
      <c r="D34" s="25" t="s">
        <v>23</v>
      </c>
      <c r="E34" s="26">
        <v>100000</v>
      </c>
      <c r="F34" s="27">
        <v>154</v>
      </c>
      <c r="G34" s="28">
        <f t="shared" si="0"/>
        <v>649.35064935064941</v>
      </c>
      <c r="H34" s="29">
        <f t="shared" si="1"/>
        <v>102370.12987012988</v>
      </c>
      <c r="I34" s="28">
        <f t="shared" si="2"/>
        <v>102370</v>
      </c>
      <c r="J34" s="30">
        <v>157.65</v>
      </c>
      <c r="K34" s="31">
        <f t="shared" si="3"/>
        <v>-3.6500000000000057</v>
      </c>
      <c r="L34" s="32">
        <f t="shared" si="4"/>
        <v>2370.1298701298801</v>
      </c>
      <c r="M34" s="42">
        <v>18400</v>
      </c>
      <c r="N34" s="33"/>
      <c r="O34" s="29">
        <f>H34+M34+N34</f>
        <v>120770.12987012988</v>
      </c>
      <c r="P34" s="34">
        <v>145770</v>
      </c>
      <c r="Q34" s="62" t="s">
        <v>96</v>
      </c>
    </row>
    <row r="35" spans="1:17" ht="14.4" thickBot="1" x14ac:dyDescent="0.35">
      <c r="A35" s="38" t="s">
        <v>52</v>
      </c>
      <c r="B35" s="39" t="s">
        <v>31</v>
      </c>
      <c r="C35" s="40" t="s">
        <v>32</v>
      </c>
      <c r="D35" s="25" t="s">
        <v>23</v>
      </c>
      <c r="E35" s="37">
        <v>120000</v>
      </c>
      <c r="F35" s="27">
        <v>154</v>
      </c>
      <c r="G35" s="28">
        <f t="shared" si="0"/>
        <v>779.22077922077926</v>
      </c>
      <c r="H35" s="29">
        <f t="shared" si="1"/>
        <v>122727.27272727274</v>
      </c>
      <c r="I35" s="28">
        <f t="shared" si="2"/>
        <v>122720</v>
      </c>
      <c r="J35" s="30">
        <v>157.5</v>
      </c>
      <c r="K35" s="31">
        <f t="shared" si="3"/>
        <v>-3.5</v>
      </c>
      <c r="L35" s="32">
        <f t="shared" si="4"/>
        <v>2727.2727272727352</v>
      </c>
      <c r="M35" s="42">
        <v>49100</v>
      </c>
      <c r="N35" s="33">
        <v>25000</v>
      </c>
      <c r="O35" s="29">
        <f>H35+M35+N35</f>
        <v>196827.27272727274</v>
      </c>
      <c r="P35" s="34">
        <v>171827</v>
      </c>
      <c r="Q35" s="62" t="s">
        <v>102</v>
      </c>
    </row>
    <row r="36" spans="1:17" ht="14.4" thickBot="1" x14ac:dyDescent="0.35">
      <c r="A36" s="38" t="s">
        <v>53</v>
      </c>
      <c r="B36" s="39" t="s">
        <v>31</v>
      </c>
      <c r="C36" s="40" t="s">
        <v>32</v>
      </c>
      <c r="D36" s="25" t="s">
        <v>23</v>
      </c>
      <c r="E36" s="37">
        <v>120000</v>
      </c>
      <c r="F36" s="27">
        <v>154</v>
      </c>
      <c r="G36" s="28">
        <f t="shared" si="0"/>
        <v>779.22077922077926</v>
      </c>
      <c r="H36" s="29">
        <f t="shared" si="1"/>
        <v>76363.636363636368</v>
      </c>
      <c r="I36" s="28">
        <f t="shared" si="2"/>
        <v>76360</v>
      </c>
      <c r="J36" s="30">
        <v>98</v>
      </c>
      <c r="K36" s="31">
        <f t="shared" si="3"/>
        <v>56</v>
      </c>
      <c r="L36" s="32">
        <f t="shared" si="4"/>
        <v>-43636.363636363632</v>
      </c>
      <c r="M36" s="42">
        <v>9300</v>
      </c>
      <c r="N36" s="33"/>
      <c r="O36" s="29">
        <f t="shared" si="5"/>
        <v>85663.636363636368</v>
      </c>
      <c r="P36" s="34">
        <v>85663</v>
      </c>
      <c r="Q36" s="62" t="s">
        <v>97</v>
      </c>
    </row>
    <row r="37" spans="1:17" ht="14.4" thickBot="1" x14ac:dyDescent="0.35">
      <c r="A37" s="38" t="s">
        <v>54</v>
      </c>
      <c r="B37" s="39" t="s">
        <v>31</v>
      </c>
      <c r="C37" s="40" t="s">
        <v>32</v>
      </c>
      <c r="D37" s="25" t="s">
        <v>23</v>
      </c>
      <c r="E37" s="37">
        <v>120000</v>
      </c>
      <c r="F37" s="27">
        <v>154</v>
      </c>
      <c r="G37" s="28">
        <f t="shared" si="0"/>
        <v>779.22077922077926</v>
      </c>
      <c r="H37" s="29">
        <f t="shared" si="1"/>
        <v>122735.06493506493</v>
      </c>
      <c r="I37" s="28">
        <f t="shared" si="2"/>
        <v>122730</v>
      </c>
      <c r="J37" s="30">
        <v>157.51</v>
      </c>
      <c r="K37" s="31">
        <f t="shared" si="3"/>
        <v>-3.5099999999999909</v>
      </c>
      <c r="L37" s="32">
        <f t="shared" si="4"/>
        <v>2735.0649350649328</v>
      </c>
      <c r="M37" s="42">
        <v>34440</v>
      </c>
      <c r="N37" s="33"/>
      <c r="O37" s="29">
        <f t="shared" si="5"/>
        <v>157175.06493506493</v>
      </c>
      <c r="P37" s="29">
        <v>157175</v>
      </c>
      <c r="Q37" s="62" t="s">
        <v>98</v>
      </c>
    </row>
    <row r="38" spans="1:17" ht="14.4" thickBot="1" x14ac:dyDescent="0.35">
      <c r="A38" s="41" t="s">
        <v>55</v>
      </c>
      <c r="B38" s="39" t="s">
        <v>31</v>
      </c>
      <c r="C38" s="40" t="s">
        <v>32</v>
      </c>
      <c r="D38" s="25" t="s">
        <v>23</v>
      </c>
      <c r="E38" s="37">
        <v>120000</v>
      </c>
      <c r="F38" s="27">
        <v>154</v>
      </c>
      <c r="G38" s="28">
        <f t="shared" si="0"/>
        <v>779.22077922077926</v>
      </c>
      <c r="H38" s="29">
        <f t="shared" si="1"/>
        <v>122711.68831168831</v>
      </c>
      <c r="I38" s="28">
        <f t="shared" si="2"/>
        <v>122710</v>
      </c>
      <c r="J38" s="30">
        <v>157.47999999999999</v>
      </c>
      <c r="K38" s="31">
        <f t="shared" si="3"/>
        <v>-3.4799999999999898</v>
      </c>
      <c r="L38" s="32">
        <f t="shared" si="4"/>
        <v>2711.6883116883109</v>
      </c>
      <c r="M38" s="42">
        <v>20700</v>
      </c>
      <c r="N38" s="33"/>
      <c r="O38" s="29">
        <f t="shared" si="5"/>
        <v>143411.68831168831</v>
      </c>
      <c r="P38" s="34">
        <v>143411</v>
      </c>
      <c r="Q38" s="62" t="s">
        <v>99</v>
      </c>
    </row>
    <row r="39" spans="1:17" ht="14.4" thickBot="1" x14ac:dyDescent="0.35">
      <c r="A39" s="41" t="s">
        <v>56</v>
      </c>
      <c r="B39" s="39" t="s">
        <v>31</v>
      </c>
      <c r="C39" s="40" t="s">
        <v>32</v>
      </c>
      <c r="D39" s="25" t="s">
        <v>23</v>
      </c>
      <c r="E39" s="26">
        <v>100000</v>
      </c>
      <c r="F39" s="27">
        <v>154</v>
      </c>
      <c r="G39" s="28">
        <f t="shared" si="0"/>
        <v>649.35064935064941</v>
      </c>
      <c r="H39" s="29">
        <f t="shared" si="1"/>
        <v>91240.259740259746</v>
      </c>
      <c r="I39" s="28">
        <f t="shared" si="2"/>
        <v>91240</v>
      </c>
      <c r="J39" s="30">
        <v>140.51</v>
      </c>
      <c r="K39" s="31">
        <f t="shared" si="3"/>
        <v>13.490000000000009</v>
      </c>
      <c r="L39" s="32">
        <f t="shared" si="4"/>
        <v>-8759.7402597402543</v>
      </c>
      <c r="M39" s="42">
        <v>7200</v>
      </c>
      <c r="N39" s="33"/>
      <c r="O39" s="29">
        <f t="shared" si="5"/>
        <v>98440.259740259746</v>
      </c>
      <c r="P39" s="34">
        <v>98440</v>
      </c>
      <c r="Q39" s="62" t="s">
        <v>103</v>
      </c>
    </row>
    <row r="40" spans="1:17" ht="14.4" thickBot="1" x14ac:dyDescent="0.35">
      <c r="A40" s="38" t="s">
        <v>57</v>
      </c>
      <c r="B40" s="39" t="s">
        <v>31</v>
      </c>
      <c r="C40" s="40" t="s">
        <v>32</v>
      </c>
      <c r="D40" s="25" t="s">
        <v>23</v>
      </c>
      <c r="E40" s="26">
        <v>100000</v>
      </c>
      <c r="F40" s="27">
        <v>154</v>
      </c>
      <c r="G40" s="28">
        <f t="shared" si="0"/>
        <v>649.35064935064941</v>
      </c>
      <c r="H40" s="29">
        <f t="shared" si="1"/>
        <v>102272.72727272728</v>
      </c>
      <c r="I40" s="28">
        <f t="shared" si="2"/>
        <v>102270</v>
      </c>
      <c r="J40" s="30">
        <v>157.5</v>
      </c>
      <c r="K40" s="31">
        <f t="shared" si="3"/>
        <v>-3.5</v>
      </c>
      <c r="L40" s="32">
        <f t="shared" si="4"/>
        <v>2272.7272727272793</v>
      </c>
      <c r="M40" s="42">
        <v>17900</v>
      </c>
      <c r="N40" s="33"/>
      <c r="O40" s="29">
        <f t="shared" si="5"/>
        <v>120172.72727272728</v>
      </c>
      <c r="P40" s="34">
        <v>120172</v>
      </c>
      <c r="Q40" s="62" t="s">
        <v>104</v>
      </c>
    </row>
    <row r="41" spans="1:17" ht="14.4" thickBot="1" x14ac:dyDescent="0.35">
      <c r="A41" s="38" t="s">
        <v>58</v>
      </c>
      <c r="B41" s="39" t="s">
        <v>31</v>
      </c>
      <c r="C41" s="40" t="s">
        <v>32</v>
      </c>
      <c r="D41" s="25" t="s">
        <v>23</v>
      </c>
      <c r="E41" s="37">
        <v>120000</v>
      </c>
      <c r="F41" s="27">
        <v>154</v>
      </c>
      <c r="G41" s="28">
        <f t="shared" si="0"/>
        <v>779.22077922077926</v>
      </c>
      <c r="H41" s="29">
        <f t="shared" si="1"/>
        <v>100324.67532467534</v>
      </c>
      <c r="I41" s="28">
        <f t="shared" si="2"/>
        <v>100320</v>
      </c>
      <c r="J41" s="30">
        <v>128.75</v>
      </c>
      <c r="K41" s="31">
        <f t="shared" si="3"/>
        <v>25.25</v>
      </c>
      <c r="L41" s="32">
        <f t="shared" si="4"/>
        <v>-19675.324675324664</v>
      </c>
      <c r="M41" s="42">
        <v>21420</v>
      </c>
      <c r="N41" s="33"/>
      <c r="O41" s="29">
        <f t="shared" si="5"/>
        <v>121744.67532467534</v>
      </c>
      <c r="P41" s="34">
        <v>121744</v>
      </c>
      <c r="Q41" s="62" t="s">
        <v>105</v>
      </c>
    </row>
    <row r="42" spans="1:17" ht="14.4" thickBot="1" x14ac:dyDescent="0.35">
      <c r="A42" s="38" t="s">
        <v>59</v>
      </c>
      <c r="B42" s="39" t="s">
        <v>31</v>
      </c>
      <c r="C42" s="40" t="s">
        <v>32</v>
      </c>
      <c r="D42" s="25" t="s">
        <v>23</v>
      </c>
      <c r="E42" s="37">
        <v>120000</v>
      </c>
      <c r="F42" s="27">
        <v>154</v>
      </c>
      <c r="G42" s="28">
        <f t="shared" si="0"/>
        <v>779.22077922077926</v>
      </c>
      <c r="H42" s="29">
        <f t="shared" si="1"/>
        <v>99740.259740259746</v>
      </c>
      <c r="I42" s="28">
        <f t="shared" si="2"/>
        <v>99740</v>
      </c>
      <c r="J42" s="30">
        <v>128</v>
      </c>
      <c r="K42" s="31">
        <f t="shared" si="3"/>
        <v>26</v>
      </c>
      <c r="L42" s="32">
        <f t="shared" si="4"/>
        <v>-20259.740259740254</v>
      </c>
      <c r="M42" s="42">
        <v>12300</v>
      </c>
      <c r="N42" s="33"/>
      <c r="O42" s="29">
        <f t="shared" si="5"/>
        <v>112040.25974025975</v>
      </c>
      <c r="P42" s="34">
        <v>12300</v>
      </c>
      <c r="Q42" s="62" t="s">
        <v>106</v>
      </c>
    </row>
    <row r="43" spans="1:17" ht="14.4" thickBot="1" x14ac:dyDescent="0.35">
      <c r="A43" s="38" t="s">
        <v>60</v>
      </c>
      <c r="B43" s="39" t="s">
        <v>31</v>
      </c>
      <c r="C43" s="40" t="s">
        <v>32</v>
      </c>
      <c r="D43" s="25" t="s">
        <v>23</v>
      </c>
      <c r="E43" s="37">
        <v>120000</v>
      </c>
      <c r="F43" s="27">
        <v>154</v>
      </c>
      <c r="G43" s="28">
        <f t="shared" si="0"/>
        <v>779.22077922077926</v>
      </c>
      <c r="H43" s="29">
        <f t="shared" si="1"/>
        <v>119025.97402597404</v>
      </c>
      <c r="I43" s="28">
        <f t="shared" si="2"/>
        <v>119020</v>
      </c>
      <c r="J43" s="30">
        <v>152.75</v>
      </c>
      <c r="K43" s="31">
        <f t="shared" si="3"/>
        <v>1.25</v>
      </c>
      <c r="L43" s="32">
        <f t="shared" si="4"/>
        <v>-974.02597402596439</v>
      </c>
      <c r="M43" s="42">
        <v>18380</v>
      </c>
      <c r="N43" s="33"/>
      <c r="O43" s="29">
        <f t="shared" si="5"/>
        <v>137405.97402597405</v>
      </c>
      <c r="P43" s="34">
        <v>137405</v>
      </c>
      <c r="Q43" s="62" t="s">
        <v>107</v>
      </c>
    </row>
    <row r="44" spans="1:17" ht="14.4" thickBot="1" x14ac:dyDescent="0.35">
      <c r="A44" s="38" t="s">
        <v>61</v>
      </c>
      <c r="B44" s="39" t="s">
        <v>31</v>
      </c>
      <c r="C44" s="40" t="s">
        <v>32</v>
      </c>
      <c r="D44" s="25" t="s">
        <v>23</v>
      </c>
      <c r="E44" s="26">
        <v>100000</v>
      </c>
      <c r="F44" s="27">
        <v>154</v>
      </c>
      <c r="G44" s="28">
        <f t="shared" si="0"/>
        <v>649.35064935064941</v>
      </c>
      <c r="H44" s="29">
        <f t="shared" si="1"/>
        <v>95642.857142857145</v>
      </c>
      <c r="I44" s="28">
        <f t="shared" si="2"/>
        <v>95640</v>
      </c>
      <c r="J44" s="30">
        <v>147.29</v>
      </c>
      <c r="K44" s="31">
        <f t="shared" si="3"/>
        <v>6.710000000000008</v>
      </c>
      <c r="L44" s="32">
        <f t="shared" si="4"/>
        <v>-4357.1428571428551</v>
      </c>
      <c r="M44" s="42">
        <v>11300</v>
      </c>
      <c r="N44" s="33"/>
      <c r="O44" s="29">
        <f t="shared" si="5"/>
        <v>106942.85714285714</v>
      </c>
      <c r="P44" s="34">
        <v>106942</v>
      </c>
      <c r="Q44" s="62" t="s">
        <v>108</v>
      </c>
    </row>
    <row r="45" spans="1:17" ht="14.4" thickBot="1" x14ac:dyDescent="0.35">
      <c r="A45" s="43" t="s">
        <v>62</v>
      </c>
      <c r="B45" s="39" t="s">
        <v>31</v>
      </c>
      <c r="C45" s="40" t="s">
        <v>32</v>
      </c>
      <c r="D45" s="25" t="s">
        <v>23</v>
      </c>
      <c r="E45" s="44">
        <v>120000</v>
      </c>
      <c r="F45" s="27">
        <v>154</v>
      </c>
      <c r="G45" s="28">
        <f t="shared" si="0"/>
        <v>779.22077922077926</v>
      </c>
      <c r="H45" s="29">
        <f t="shared" si="1"/>
        <v>116103.89610389611</v>
      </c>
      <c r="I45" s="28">
        <f t="shared" si="2"/>
        <v>116100</v>
      </c>
      <c r="J45" s="30">
        <v>149</v>
      </c>
      <c r="K45" s="31">
        <f t="shared" si="3"/>
        <v>5</v>
      </c>
      <c r="L45" s="32">
        <f t="shared" si="4"/>
        <v>-3896.1038961038867</v>
      </c>
      <c r="M45" s="45">
        <v>36700</v>
      </c>
      <c r="N45" s="33"/>
      <c r="O45" s="29">
        <f t="shared" si="5"/>
        <v>152803.89610389611</v>
      </c>
      <c r="P45" s="34">
        <v>152803</v>
      </c>
      <c r="Q45" s="62" t="s">
        <v>109</v>
      </c>
    </row>
    <row r="46" spans="1:17" x14ac:dyDescent="0.3">
      <c r="I46" s="46" t="s">
        <v>10</v>
      </c>
      <c r="L46" s="5">
        <f>SUM(L8:L45)</f>
        <v>-313762.66233766219</v>
      </c>
      <c r="M46" s="5">
        <f>SUM(M8:M45)</f>
        <v>785950.304</v>
      </c>
      <c r="N46" s="5">
        <f>SUM(N8:N45)</f>
        <v>100000</v>
      </c>
      <c r="O46" s="47">
        <f>SUM(O8:O45)</f>
        <v>4832187.6416623378</v>
      </c>
      <c r="P46" s="47"/>
    </row>
    <row r="47" spans="1:17" x14ac:dyDescent="0.3">
      <c r="I47" s="47">
        <f>SUM(I8:I45)</f>
        <v>3946120</v>
      </c>
      <c r="N47" s="1" t="s">
        <v>63</v>
      </c>
      <c r="O47" s="47">
        <f>ROUNDDOWN(O46,-1)</f>
        <v>4832180</v>
      </c>
    </row>
  </sheetData>
  <autoFilter ref="A7:O32" xr:uid="{00000000-0009-0000-0000-000000000000}">
    <sortState ref="A8:O32">
      <sortCondition ref="A8:A32"/>
    </sortState>
  </autoFilter>
  <mergeCells count="1">
    <mergeCell ref="G2:I2"/>
  </mergeCells>
  <phoneticPr fontId="1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G14"/>
  <sheetViews>
    <sheetView zoomScaleNormal="100" workbookViewId="0">
      <selection activeCell="K9" sqref="K9"/>
    </sheetView>
  </sheetViews>
  <sheetFormatPr baseColWidth="10" defaultColWidth="10.6640625" defaultRowHeight="14.4" x14ac:dyDescent="0.3"/>
  <cols>
    <col min="2" max="2" width="24.33203125" style="48" customWidth="1"/>
    <col min="3" max="3" width="28.21875" style="48" customWidth="1"/>
    <col min="5" max="5" width="16.88671875" style="48" customWidth="1"/>
    <col min="6" max="6" width="11.5546875" style="49" customWidth="1"/>
  </cols>
  <sheetData>
    <row r="3" spans="2:7" ht="14.25" customHeight="1" x14ac:dyDescent="0.3">
      <c r="B3" s="123" t="s">
        <v>64</v>
      </c>
      <c r="C3" s="123"/>
      <c r="E3" s="123" t="s">
        <v>65</v>
      </c>
      <c r="F3" s="123"/>
    </row>
    <row r="5" spans="2:7" ht="14.25" customHeight="1" x14ac:dyDescent="0.3">
      <c r="B5" s="124" t="s">
        <v>66</v>
      </c>
      <c r="C5" s="50" t="s">
        <v>21</v>
      </c>
      <c r="E5" s="51" t="s">
        <v>67</v>
      </c>
      <c r="F5" s="52">
        <v>215634</v>
      </c>
    </row>
    <row r="6" spans="2:7" ht="14.25" customHeight="1" x14ac:dyDescent="0.3">
      <c r="B6" s="124"/>
      <c r="C6" s="53">
        <v>0.88749999999999996</v>
      </c>
      <c r="E6" s="51" t="s">
        <v>68</v>
      </c>
      <c r="F6" s="52">
        <v>0</v>
      </c>
    </row>
    <row r="7" spans="2:7" ht="14.25" customHeight="1" x14ac:dyDescent="0.3">
      <c r="B7" s="54" t="s">
        <v>69</v>
      </c>
      <c r="C7" s="55">
        <f>IF(C6&gt;=85%,25000,0)</f>
        <v>25000</v>
      </c>
      <c r="E7" s="51" t="s">
        <v>70</v>
      </c>
      <c r="F7" s="52">
        <v>122028</v>
      </c>
    </row>
    <row r="8" spans="2:7" ht="14.25" customHeight="1" x14ac:dyDescent="0.3">
      <c r="B8" s="48" t="s">
        <v>71</v>
      </c>
      <c r="C8" s="56">
        <v>20151.091199999999</v>
      </c>
    </row>
    <row r="10" spans="2:7" ht="14.25" customHeight="1" x14ac:dyDescent="0.3">
      <c r="B10" s="54" t="s">
        <v>72</v>
      </c>
      <c r="C10" s="52">
        <f>SUM(C7:C8)</f>
        <v>45151.091199999995</v>
      </c>
      <c r="E10" s="54" t="s">
        <v>72</v>
      </c>
      <c r="F10" s="52">
        <f>SUM(F5:F9)</f>
        <v>337662</v>
      </c>
    </row>
    <row r="11" spans="2:7" ht="14.25" customHeight="1" x14ac:dyDescent="0.3">
      <c r="C11" s="57">
        <v>45151</v>
      </c>
      <c r="F11" s="57">
        <v>337662</v>
      </c>
    </row>
    <row r="14" spans="2:7" ht="14.25" customHeight="1" x14ac:dyDescent="0.3">
      <c r="G14" s="49"/>
    </row>
  </sheetData>
  <mergeCells count="3">
    <mergeCell ref="B3:C3"/>
    <mergeCell ref="E3:F3"/>
    <mergeCell ref="B5:B6"/>
  </mergeCells>
  <conditionalFormatting sqref="C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Avril 2026</vt:lpstr>
      <vt:lpstr>Mai 2026</vt:lpstr>
      <vt:lpstr>Juin 2026</vt:lpstr>
      <vt:lpstr>Juillet 2026</vt:lpstr>
      <vt:lpstr>Août 2026</vt:lpstr>
      <vt:lpstr>Prime Manager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C2S</dc:creator>
  <dc:description/>
  <cp:lastModifiedBy>LENOVO</cp:lastModifiedBy>
  <cp:revision>0</cp:revision>
  <dcterms:created xsi:type="dcterms:W3CDTF">2023-12-19T13:03:48Z</dcterms:created>
  <dcterms:modified xsi:type="dcterms:W3CDTF">2026-08-20T15:01:24Z</dcterms:modified>
  <dc:language>en-US</dc:language>
</cp:coreProperties>
</file>